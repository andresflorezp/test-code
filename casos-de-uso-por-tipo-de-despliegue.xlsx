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losario" sheetId="1" state="visible" r:id="rId3"/>
    <sheet name="Casos de uso por tipo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<sst xmlns="http://schemas.openxmlformats.org/spreadsheetml/2006/main" count="187" uniqueCount="170">
  <si>
    <t xml:space="preserve">Término</t>
  </si>
  <si>
    <t xml:space="preserve">Qué es</t>
  </si>
  <si>
    <t xml:space="preserve">Cuántos</t>
  </si>
  <si>
    <t xml:space="preserve">Ejemplo</t>
  </si>
  <si>
    <t xml:space="preserve">Tecnología (techstack)</t>
  </si>
  <si>
    <t xml:space="preserve">Lo que dice el Excel original</t>
  </si>
  <si>
    <t xml:space="preserve">33</t>
  </si>
  <si>
    <t xml:space="preserve">angular, WAS, Apigee</t>
  </si>
  <si>
    <t xml:space="preserve">Template RLM</t>
  </si>
  <si>
    <t xml:space="preserve">Cómo lo hace RLM hoy</t>
  </si>
  <si>
    <t xml:space="preserve">22</t>
  </si>
  <si>
    <t xml:space="preserve">filecopy, was_template, oraas_template</t>
  </si>
  <si>
    <t xml:space="preserve">Tipo de despliegue</t>
  </si>
  <si>
    <t xml:space="preserve">El mecanismo: copiar archivos, desplegar en app server, correr SQL, llamar una API…</t>
  </si>
  <si>
    <t xml:space="preserve">10</t>
  </si>
  <si>
    <t xml:space="preserve">filecopy, appserver, database, api</t>
  </si>
  <si>
    <t xml:space="preserve">Caso de uso</t>
  </si>
  <si>
    <t xml:space="preserve">Tipo de despliegue + sus variantes (sub-tipos) + sus pre/post pasos</t>
  </si>
  <si>
    <t xml:space="preserve">10 (con sub-tipos adentro)</t>
  </si>
  <si>
    <t xml:space="preserve">caso de uso filecopy: cubre 7 tecnologías</t>
  </si>
  <si>
    <t xml:space="preserve">Job Template en AAP</t>
  </si>
  <si>
    <t xml:space="preserve">Uno por tipo de despliegue</t>
  </si>
  <si>
    <t xml:space="preserve">deploy-filecopy, deploy-appserver</t>
  </si>
  <si>
    <t xml:space="preserve">Rol en banamex.deploy</t>
  </si>
  <si>
    <t xml:space="preserve">roles/filecopy, roles/appserver</t>
  </si>
  <si>
    <t xml:space="preserve">Instancia (NO es caso de uso)</t>
  </si>
  <si>
    <t xml:space="preserve">Una app específica o una tecnología sola; se diferencian solo por variables del inventario</t>
  </si>
  <si>
    <t xml:space="preserve">n/a</t>
  </si>
  <si>
    <t xml:space="preserve">pagos-web, OHS</t>
  </si>
  <si>
    <t xml:space="preserve">Job Template</t>
  </si>
  <si>
    <t xml:space="preserve">Rol</t>
  </si>
  <si>
    <t xml:space="preserve">Tecnologías que cubre</t>
  </si>
  <si>
    <t xml:space="preserve">Templates RLM que reemplaza</t>
  </si>
  <si>
    <t xml:space="preserve">Mecanismo (pasos)</t>
  </si>
  <si>
    <t xml:space="preserve">Modo de ejecución</t>
  </si>
  <si>
    <t xml:space="preserve">Variantes / sub-tipos (var del rol)</t>
  </si>
  <si>
    <t xml:space="preserve">Qué cambia por app (inventario)</t>
  </si>
  <si>
    <t xml:space="preserve">Rollback</t>
  </si>
  <si>
    <t xml:space="preserve">Estado</t>
  </si>
  <si>
    <t xml:space="preserve">Qué confirmar con el equipo dueño</t>
  </si>
  <si>
    <t xml:space="preserve">filecopy</t>
  </si>
  <si>
    <t xml:space="preserve">deploy-filecopy</t>
  </si>
  <si>
    <t xml:space="preserve">roles/filecopy</t>
  </si>
  <si>
    <t xml:space="preserve">angular, NodeJS, AHS, IHS, Shell_script, Tuxedo, OHS (y quizás Python)</t>
  </si>
  <si>
    <t xml:space="preserve">filecopy, Filecopy</t>
  </si>
  <si>
    <t xml:space="preserve">SSH → precheck → bajar artefacto → backup → detener servicio → copiar/descomprimir → permisos → arrancar servicio → healthcheck → audit</t>
  </si>
  <si>
    <t xml:space="preserve">SSH (entra al servidor)</t>
  </si>
  <si>
    <t xml:space="preserve">con servicio / sin servicio; pre-step (tmshutdown/tmboot en Tuxedo); post-step (pip install en Python)</t>
  </si>
  <si>
    <t xml:space="preserve">filecopy_dest, filecopy_owner, filecopy_group, filecopy_service, filecopy_healthcheck_url</t>
  </si>
  <si>
    <t xml:space="preserve">Restaurar el último backup (.tgz) y reiniciar servicio</t>
  </si>
  <si>
    <t xml:space="preserve">Claro</t>
  </si>
  <si>
    <t xml:space="preserve">Shell_script: ¿solo copia o también ejecuta? NodeJS: ¿pm2 o systemd?</t>
  </si>
  <si>
    <t xml:space="preserve">filecopy_win</t>
  </si>
  <si>
    <t xml:space="preserve">deploy-filecopy-win</t>
  </si>
  <si>
    <t xml:space="preserve">roles/filecopy_win</t>
  </si>
  <si>
    <t xml:space="preserve">DOTNET, .zip (vendorBinary)</t>
  </si>
  <si>
    <t xml:space="preserve">WIN-FILECOPY</t>
  </si>
  <si>
    <t xml:space="preserve">WinRM → precheck → bajar artefacto → backup → detener app pool/servicio → copiar → arrancar → healthcheck → audit (módulos win_*)</t>
  </si>
  <si>
    <t xml:space="preserve">WinRM + Kerberos (entra al servidor)</t>
  </si>
  <si>
    <t xml:space="preserve">con IIS (app pool stop/start) / sin IIS (servicio Windows)</t>
  </si>
  <si>
    <t xml:space="preserve">filecopy_dest, filecopy_service o app_pool, healthcheck_url</t>
  </si>
  <si>
    <t xml:space="preserve">Restaurar backup y reiniciar app pool/servicio</t>
  </si>
  <si>
    <t xml:space="preserve">¿IIS o servicio Windows? Cuenta de dominio para WinRM</t>
  </si>
  <si>
    <t xml:space="preserve">appserver</t>
  </si>
  <si>
    <t xml:space="preserve">deploy-appserver</t>
  </si>
  <si>
    <t xml:space="preserve">roles/appserver (tasks/was.yml, liberty.yml, weblogic.yml, tomcat.yml, avoka.yml)</t>
  </si>
  <si>
    <t xml:space="preserve">WAS, EXPRESSIT, WAS_Liberty, WebLogic, Avoka, gradle(Avoka), Tomcat</t>
  </si>
  <si>
    <t xml:space="preserve">was_template, liberty_template, wl_template, avoka_template, tomcat_template</t>
  </si>
  <si>
    <t xml:space="preserve">SSH → bajar war/ear → backup del deploy actual → undeploy/deploy vía CLI del servidor (wsadmin, wlst, manager/dropins) → reinicio si aplica → healthcheck → audit</t>
  </si>
  <si>
    <t xml:space="preserve">SSH + CLI del app server (wsadmin, wlst, manager)</t>
  </si>
  <si>
    <t xml:space="preserve">appserver: was | liberty | weblogic | tomcat | avoka; standalone vs cluster (DMgr / Admin Server)</t>
  </si>
  <si>
    <t xml:space="preserve">app_name, context_root, appserver_home, admin_host/port, become_user, healthcheck_url</t>
  </si>
  <si>
    <t xml:space="preserve">Redeploy del ear/war anterior (backup) vía misma CLI</t>
  </si>
  <si>
    <t xml:space="preserve">Claro (Avoka y ExpressIT por confirmar)</t>
  </si>
  <si>
    <t xml:space="preserve">WAS: ¿Deployment Manager o standalone? WebLogic: ¿cluster con Admin Server? Avoka/ExpressIT: ¿ear normal o instalador propio?</t>
  </si>
  <si>
    <t xml:space="preserve">database</t>
  </si>
  <si>
    <t xml:space="preserve">deploy-database</t>
  </si>
  <si>
    <t xml:space="preserve">roles/database (tasks/oracle.yml, mssql.yml, teradata.yml, mongo.yml)</t>
  </si>
  <si>
    <t xml:space="preserve">ORAAS (Oracle), Teradata, MSSQL, Mongo</t>
  </si>
  <si>
    <t xml:space="preserve">oraas_template, teradata_template, mssql_template, mongo_template</t>
  </si>
  <si>
    <t xml:space="preserve">local → bajar paquete de scripts → validar orden/versión → ejecutar scripts con el cliente (sqlplus, sqlcmd, bteq, mongosh) → registrar versión aplicada → audit</t>
  </si>
  <si>
    <t xml:space="preserve">Local desde el nodo de control (cliente SQL en el EE)</t>
  </si>
  <si>
    <t xml:space="preserve">db_engine: oracle | mssql | teradata | mongo</t>
  </si>
  <si>
    <t xml:space="preserve">db_host, db_name, db_user (secreto en Vault), schema, scripts_path</t>
  </si>
  <si>
    <t xml:space="preserve">Script inverso (down) si existe; si no, restore manual: documentar</t>
  </si>
  <si>
    <t xml:space="preserve">Confirmar</t>
  </si>
  <si>
    <t xml:space="preserve">¿Scripts SQL versionados o despliegue de objetos? ¿Hay script de rollback? MSSQL: ¿auth SQL o dominio? Clientes en el EE</t>
  </si>
  <si>
    <t xml:space="preserve">openshift</t>
  </si>
  <si>
    <t xml:space="preserve">deploy-openshift</t>
  </si>
  <si>
    <t xml:space="preserve">roles/openshift</t>
  </si>
  <si>
    <t xml:space="preserve">Gemfire, JAVA OPENSHIFT (springBoot)</t>
  </si>
  <si>
    <t xml:space="preserve">openshift_template</t>
  </si>
  <si>
    <t xml:space="preserve">local → login oc con service account → aplicar manifiestos/Helm con la imagen:tag → esperar rollout → healthcheck de ruta → audit</t>
  </si>
  <si>
    <t xml:space="preserve">Local (kubernetes.core / oc)</t>
  </si>
  <si>
    <t xml:space="preserve">imagen ya construida vs build en OCP; Deployment vs DeploymentConfig</t>
  </si>
  <si>
    <t xml:space="preserve">namespace, deployment_name, image, replicas, route_url</t>
  </si>
  <si>
    <t xml:space="preserve">oc rollout undo o aplicar tag anterior</t>
  </si>
  <si>
    <t xml:space="preserve">¿La imagen la construye GHA o OCP (S2I)?</t>
  </si>
  <si>
    <t xml:space="preserve">api</t>
  </si>
  <si>
    <t xml:space="preserve">deploy-api</t>
  </si>
  <si>
    <t xml:space="preserve">roles/api (tasks/apigee_*.yml)</t>
  </si>
  <si>
    <t xml:space="preserve">APIGEE (config, product, proxy, sharedflow)</t>
  </si>
  <si>
    <t xml:space="preserve">apigee_template</t>
  </si>
  <si>
    <t xml:space="preserve">local → bajar bundle → llamar API de Apigee (import revision → deploy a env) → verificar revisión activa → audit</t>
  </si>
  <si>
    <t xml:space="preserve">Local (REST Apigee Management API)</t>
  </si>
  <si>
    <t xml:space="preserve">apigee_kind: config | product | proxy | sharedflow</t>
  </si>
  <si>
    <t xml:space="preserve">apigee_org, apigee_env, proxy_name, token (Vault)</t>
  </si>
  <si>
    <t xml:space="preserve">Deploy de la revisión anterior</t>
  </si>
  <si>
    <t xml:space="preserve">Confirmar si los 4 workflows difieren en algo más que el tipo de recurso</t>
  </si>
  <si>
    <t xml:space="preserve">kafka</t>
  </si>
  <si>
    <t xml:space="preserve">deploy-kafka</t>
  </si>
  <si>
    <t xml:space="preserve">roles/kafka</t>
  </si>
  <si>
    <t xml:space="preserve">KAFKA</t>
  </si>
  <si>
    <t xml:space="preserve">kafka_template</t>
  </si>
  <si>
    <t xml:space="preserve">local → bajar config → llamar REST de Kafka Connect / Schema Registry / Admin API → verificar estado RUNNING → audit</t>
  </si>
  <si>
    <t xml:space="preserve">Local (REST)</t>
  </si>
  <si>
    <t xml:space="preserve">kafka_kind: connector | topic | schema</t>
  </si>
  <si>
    <t xml:space="preserve">bootstrap, connect_url, connector_name, topic config</t>
  </si>
  <si>
    <t xml:space="preserve">Reaplicar config anterior del connector/schema</t>
  </si>
  <si>
    <t xml:space="preserve">¿Qué se despliega hoy con kafka_template: connectors, topics, schemas, o las tres?</t>
  </si>
  <si>
    <t xml:space="preserve">flink</t>
  </si>
  <si>
    <t xml:space="preserve">deploy-flink</t>
  </si>
  <si>
    <t xml:space="preserve">roles/flink</t>
  </si>
  <si>
    <t xml:space="preserve">Flink (fila 16) y FLINK amarillo</t>
  </si>
  <si>
    <t xml:space="preserve">Flink_template</t>
  </si>
  <si>
    <t xml:space="preserve">local → bajar jar → stop con savepoint (REST JobManager) → upload jar → run desde savepoint → verificar RUNNING → audit</t>
  </si>
  <si>
    <t xml:space="preserve">Local (REST JobManager) o CLI flink run</t>
  </si>
  <si>
    <t xml:space="preserve">con savepoint / sin savepoint</t>
  </si>
  <si>
    <t xml:space="preserve">jobmanager_url, job_name, entry_class, parallelism, savepoint_dir</t>
  </si>
  <si>
    <t xml:space="preserve">Relanzar jar anterior desde el último savepoint</t>
  </si>
  <si>
    <t xml:space="preserve">Aclarar por qué aparece dos veces en el Excel (¿otro cluster, otro job, duplicado?)</t>
  </si>
  <si>
    <t xml:space="preserve">platform</t>
  </si>
  <si>
    <t xml:space="preserve">deploy-platform</t>
  </si>
  <si>
    <t xml:space="preserve">roles/platform (tasks/solace.yml, tableau.yml, cognos.yml, pinot.yml, abinitio.yml, tibco.yml)</t>
  </si>
  <si>
    <t xml:space="preserve">SOLACE, TABLEAU, cognos, Pinot, ABINITIO, TIBCO BPM</t>
  </si>
  <si>
    <t xml:space="preserve">solace_template, tableau_template, cognos_template, pinot template, Abinitio_template, tibco_template</t>
  </si>
  <si>
    <t xml:space="preserve">Cada plataforma tiene su CLI/REST propia: bajar artefacto → llamar la herramienta (SEMP, tabcmd, SDK Cognos, controller Pinot, air CLI, AppManage) → verificar → audit</t>
  </si>
  <si>
    <t xml:space="preserve">Mixto: REST local (Solace, Tableau, Pinot) / SSH + CLI (Ab Initio, TIBCO)</t>
  </si>
  <si>
    <t xml:space="preserve">platform: solace | tableau | cognos | pinot | abinitio | tibco</t>
  </si>
  <si>
    <t xml:space="preserve">URL/host de la plataforma, credencial en Vault, nombre del objeto</t>
  </si>
  <si>
    <t xml:space="preserve">Depende de la plataforma; documentar por sub-tipo</t>
  </si>
  <si>
    <t xml:space="preserve">Es el grupo más incierto: si alguna se despliega copiando archivos + reinicio, se mueve a filecopy. Puede partirse en 2–3 roles.</t>
  </si>
  <si>
    <t xml:space="preserve">script</t>
  </si>
  <si>
    <t xml:space="preserve">deploy-script</t>
  </si>
  <si>
    <t xml:space="preserve">roles/script (o sub-tipo de filecopy)</t>
  </si>
  <si>
    <t xml:space="preserve">PYTHON (PYTHONCOP)</t>
  </si>
  <si>
    <t xml:space="preserve">python_template</t>
  </si>
  <si>
    <t xml:space="preserve">SSH → bajar paquete → copiar → crear/actualizar venv (pip install -r) → reiniciar servicio si aplica → smoke test → audit</t>
  </si>
  <si>
    <t xml:space="preserve">SSH</t>
  </si>
  <si>
    <t xml:space="preserve">probablemente sub-tipo de filecopy con post-step pip</t>
  </si>
  <si>
    <t xml:space="preserve">dest, venv_path, service, requirements</t>
  </si>
  <si>
    <t xml:space="preserve">Restaurar backup del paquete y del venv</t>
  </si>
  <si>
    <t xml:space="preserve">Si solo es copia + pip, se elimina este tipo y queda como variante de filecopy</t>
  </si>
  <si>
    <t xml:space="preserve">(excluido) HCV</t>
  </si>
  <si>
    <t xml:space="preserve">—</t>
  </si>
  <si>
    <t xml:space="preserve">HCV (HashiCorp Vault)</t>
  </si>
  <si>
    <t xml:space="preserve">No es un tipo de despliegue: es la fuente de secretos que usan todos los roles (lookup hashi_vault)</t>
  </si>
  <si>
    <t xml:space="preserve">Excluir</t>
  </si>
  <si>
    <t xml:space="preserve">Confirmar que HCV en el Excel se refiere a Vault y no a otra cosa</t>
  </si>
  <si>
    <t xml:space="preserve">Métrica</t>
  </si>
  <si>
    <t xml:space="preserve">Valor</t>
  </si>
  <si>
    <t xml:space="preserve">Fórmula</t>
  </si>
  <si>
    <t xml:space="preserve">Tecnologías en el Excel</t>
  </si>
  <si>
    <t xml:space="preserve">Templates RLM</t>
  </si>
  <si>
    <t xml:space="preserve">Tipos de despliegue / Job Templates</t>
  </si>
  <si>
    <t xml:space="preserve">cuenta las filas de la hoja de casos sin el excluido</t>
  </si>
  <si>
    <t xml:space="preserve">Claros</t>
  </si>
  <si>
    <t xml:space="preserve">Por confirmar</t>
  </si>
  <si>
    <t xml:space="preserve">Excluidos</t>
  </si>
  <si>
    <t xml:space="preserve">Fuente: tabla de tecnologías del Excel de Andrés (33 tecnologías / 22 templates RLM) y clasificación propuesta en la sesión del 27-oct-2026.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</si>
</sst>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5D655C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6F8B"/>
        <bgColor rgb="FF008080"/>
      </patternFill>
    </fill>
    <fill>
      <patternFill patternType="solid">
        <fgColor rgb="FFE3F1E7"/>
        <bgColor rgb="FFF3E7D6"/>
      </patternFill>
    </fill>
    <fill>
      <patternFill patternType="solid">
        <fgColor rgb="FFF3E7D6"/>
        <bgColor rgb="FFE3F1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C6"/>
      </left>
      <right style="thin">
        <color rgb="FFC9CFC6"/>
      </right>
      <top style="thin">
        <color rgb="FFC9CFC6"/>
      </top>
      <bottom style="thin">
        <color rgb="FFC9CF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8B"/>
      <rgbColor rgb="FFC9CFC6"/>
      <rgbColor rgb="FF808080"/>
      <rgbColor rgb="FF9999FF"/>
      <rgbColor rgb="FF993366"/>
      <rgbColor rgb="FFF3E7D6"/>
      <rgbColor rgb="FFE3F1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5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70"/>
    <col collapsed="false" customWidth="true" hidden="false" outlineLevel="0" max="3" min="3" style="0" width="22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s">
        <v>4</v>
      </c>
      <c r="B2" s="2" t="s">
        <v>5</v>
      </c>
      <c r="C2" s="2" t="s">
        <v>6</v>
      </c>
      <c r="D2" s="2" t="s">
        <v>7</v>
      </c>
    </row>
    <row r="3" customFormat="false" ht="15" hidden="false" customHeight="false" outlineLevel="0" collapsed="false">
      <c r="A3" s="2" t="s">
        <v>8</v>
      </c>
      <c r="B3" s="2" t="s">
        <v>9</v>
      </c>
      <c r="C3" s="2" t="s">
        <v>10</v>
      </c>
      <c r="D3" s="2" t="s">
        <v>11</v>
      </c>
    </row>
    <row r="4" customFormat="false" ht="15" hidden="false" customHeight="false" outlineLevel="0" collapsed="false">
      <c r="A4" s="2" t="s">
        <v>12</v>
      </c>
      <c r="B4" s="2" t="s">
        <v>13</v>
      </c>
      <c r="C4" s="2" t="s">
        <v>14</v>
      </c>
      <c r="D4" s="2" t="s">
        <v>15</v>
      </c>
    </row>
    <row r="5" customFormat="false" ht="15" hidden="false" customHeight="false" outlineLevel="0" collapsed="false">
      <c r="A5" s="2" t="s">
        <v>16</v>
      </c>
      <c r="B5" s="2" t="s">
        <v>17</v>
      </c>
      <c r="C5" s="2" t="s">
        <v>18</v>
      </c>
      <c r="D5" s="2" t="s">
        <v>19</v>
      </c>
    </row>
    <row r="6" customFormat="false" ht="15" hidden="false" customHeight="false" outlineLevel="0" collapsed="false">
      <c r="A6" s="2" t="s">
        <v>20</v>
      </c>
      <c r="B6" s="2" t="s">
        <v>21</v>
      </c>
      <c r="C6" s="2" t="s">
        <v>14</v>
      </c>
      <c r="D6" s="2" t="s">
        <v>22</v>
      </c>
    </row>
    <row r="7" customFormat="false" ht="15" hidden="false" customHeight="false" outlineLevel="0" collapsed="false">
      <c r="A7" s="2" t="s">
        <v>23</v>
      </c>
      <c r="B7" s="2" t="s">
        <v>21</v>
      </c>
      <c r="C7" s="2" t="s">
        <v>14</v>
      </c>
      <c r="D7" s="2" t="s">
        <v>24</v>
      </c>
    </row>
    <row r="8" customFormat="false" ht="23.85" hidden="false" customHeight="false" outlineLevel="0" collapsed="false">
      <c r="A8" s="2" t="s">
        <v>25</v>
      </c>
      <c r="B8" s="2" t="s">
        <v>26</v>
      </c>
      <c r="C8" s="2" t="s">
        <v>27</v>
      </c>
      <c r="D8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32"/>
    <col collapsed="false" customWidth="true" hidden="false" outlineLevel="0" max="5" min="5" style="0" width="30"/>
    <col collapsed="false" customWidth="true" hidden="false" outlineLevel="0" max="6" min="6" style="0" width="55"/>
    <col collapsed="false" customWidth="true" hidden="false" outlineLevel="0" max="7" min="7" style="0" width="26"/>
    <col collapsed="false" customWidth="true" hidden="false" outlineLevel="0" max="9" min="8" style="0" width="36"/>
    <col collapsed="false" customWidth="true" hidden="false" outlineLevel="0" max="10" min="10" style="0" width="30"/>
    <col collapsed="false" customWidth="true" hidden="false" outlineLevel="0" max="11" min="11" style="0" width="14"/>
    <col collapsed="false" customWidth="true" hidden="false" outlineLevel="0" max="12" min="12" style="0" width="45"/>
  </cols>
  <sheetData>
    <row r="1" customFormat="false" ht="31.5" hidden="false" customHeight="true" outlineLevel="0" collapsed="false">
      <c r="A1" s="1" t="s">
        <v>12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</row>
    <row r="2" customFormat="false" ht="35.05" hidden="false" customHeight="false" outlineLevel="0" collapsed="false">
      <c r="A2" s="2" t="s">
        <v>40</v>
      </c>
      <c r="B2" s="2" t="s">
        <v>41</v>
      </c>
      <c r="C2" s="2" t="s">
        <v>42</v>
      </c>
      <c r="D2" s="2" t="s">
        <v>43</v>
      </c>
      <c r="E2" s="2" t="s">
        <v>44</v>
      </c>
      <c r="F2" s="2" t="s">
        <v>45</v>
      </c>
      <c r="G2" s="2" t="s">
        <v>46</v>
      </c>
      <c r="H2" s="2" t="s">
        <v>47</v>
      </c>
      <c r="I2" s="2" t="s">
        <v>48</v>
      </c>
      <c r="J2" s="2" t="s">
        <v>49</v>
      </c>
      <c r="K2" s="3" t="s">
        <v>50</v>
      </c>
      <c r="L2" s="2" t="s">
        <v>51</v>
      </c>
    </row>
    <row r="3" customFormat="false" ht="35.05" hidden="false" customHeight="false" outlineLevel="0" collapsed="false">
      <c r="A3" s="2" t="s">
        <v>52</v>
      </c>
      <c r="B3" s="2" t="s">
        <v>53</v>
      </c>
      <c r="C3" s="2" t="s">
        <v>54</v>
      </c>
      <c r="D3" s="2" t="s">
        <v>55</v>
      </c>
      <c r="E3" s="2" t="s">
        <v>56</v>
      </c>
      <c r="F3" s="2" t="s">
        <v>57</v>
      </c>
      <c r="G3" s="2" t="s">
        <v>58</v>
      </c>
      <c r="H3" s="2" t="s">
        <v>59</v>
      </c>
      <c r="I3" s="2" t="s">
        <v>60</v>
      </c>
      <c r="J3" s="2" t="s">
        <v>61</v>
      </c>
      <c r="K3" s="3" t="s">
        <v>50</v>
      </c>
      <c r="L3" s="2" t="s">
        <v>62</v>
      </c>
    </row>
    <row r="4" customFormat="false" ht="35.05" hidden="false" customHeight="false" outlineLevel="0" collapsed="false">
      <c r="A4" s="2" t="s">
        <v>63</v>
      </c>
      <c r="B4" s="2" t="s">
        <v>64</v>
      </c>
      <c r="C4" s="2" t="s">
        <v>65</v>
      </c>
      <c r="D4" s="2" t="s">
        <v>66</v>
      </c>
      <c r="E4" s="2" t="s">
        <v>67</v>
      </c>
      <c r="F4" s="2" t="s">
        <v>68</v>
      </c>
      <c r="G4" s="2" t="s">
        <v>69</v>
      </c>
      <c r="H4" s="2" t="s">
        <v>70</v>
      </c>
      <c r="I4" s="2" t="s">
        <v>71</v>
      </c>
      <c r="J4" s="2" t="s">
        <v>72</v>
      </c>
      <c r="K4" s="3" t="s">
        <v>73</v>
      </c>
      <c r="L4" s="2" t="s">
        <v>74</v>
      </c>
    </row>
    <row r="5" customFormat="false" ht="35.05" hidden="false" customHeight="false" outlineLevel="0" collapsed="false">
      <c r="A5" s="2" t="s">
        <v>75</v>
      </c>
      <c r="B5" s="2" t="s">
        <v>76</v>
      </c>
      <c r="C5" s="2" t="s">
        <v>77</v>
      </c>
      <c r="D5" s="2" t="s">
        <v>78</v>
      </c>
      <c r="E5" s="2" t="s">
        <v>79</v>
      </c>
      <c r="F5" s="2" t="s">
        <v>80</v>
      </c>
      <c r="G5" s="2" t="s">
        <v>81</v>
      </c>
      <c r="H5" s="2" t="s">
        <v>82</v>
      </c>
      <c r="I5" s="2" t="s">
        <v>83</v>
      </c>
      <c r="J5" s="2" t="s">
        <v>84</v>
      </c>
      <c r="K5" s="4" t="s">
        <v>85</v>
      </c>
      <c r="L5" s="2" t="s">
        <v>86</v>
      </c>
    </row>
    <row r="6" customFormat="false" ht="23.85" hidden="false" customHeight="false" outlineLevel="0" collapsed="false">
      <c r="A6" s="2" t="s">
        <v>87</v>
      </c>
      <c r="B6" s="2" t="s">
        <v>88</v>
      </c>
      <c r="C6" s="2" t="s">
        <v>89</v>
      </c>
      <c r="D6" s="2" t="s">
        <v>90</v>
      </c>
      <c r="E6" s="2" t="s">
        <v>91</v>
      </c>
      <c r="F6" s="2" t="s">
        <v>92</v>
      </c>
      <c r="G6" s="2" t="s">
        <v>93</v>
      </c>
      <c r="H6" s="2" t="s">
        <v>94</v>
      </c>
      <c r="I6" s="2" t="s">
        <v>95</v>
      </c>
      <c r="J6" s="2" t="s">
        <v>96</v>
      </c>
      <c r="K6" s="3" t="s">
        <v>50</v>
      </c>
      <c r="L6" s="2" t="s">
        <v>97</v>
      </c>
    </row>
    <row r="7" customFormat="false" ht="23.85" hidden="false" customHeight="false" outlineLevel="0" collapsed="false">
      <c r="A7" s="2" t="s">
        <v>98</v>
      </c>
      <c r="B7" s="2" t="s">
        <v>99</v>
      </c>
      <c r="C7" s="2" t="s">
        <v>100</v>
      </c>
      <c r="D7" s="2" t="s">
        <v>101</v>
      </c>
      <c r="E7" s="2" t="s">
        <v>102</v>
      </c>
      <c r="F7" s="2" t="s">
        <v>103</v>
      </c>
      <c r="G7" s="2" t="s">
        <v>104</v>
      </c>
      <c r="H7" s="2" t="s">
        <v>105</v>
      </c>
      <c r="I7" s="2" t="s">
        <v>106</v>
      </c>
      <c r="J7" s="2" t="s">
        <v>107</v>
      </c>
      <c r="K7" s="3" t="s">
        <v>50</v>
      </c>
      <c r="L7" s="2" t="s">
        <v>108</v>
      </c>
    </row>
    <row r="8" customFormat="false" ht="23.85" hidden="false" customHeight="false" outlineLevel="0" collapsed="false">
      <c r="A8" s="2" t="s">
        <v>109</v>
      </c>
      <c r="B8" s="2" t="s">
        <v>110</v>
      </c>
      <c r="C8" s="2" t="s">
        <v>111</v>
      </c>
      <c r="D8" s="2" t="s">
        <v>112</v>
      </c>
      <c r="E8" s="2" t="s">
        <v>113</v>
      </c>
      <c r="F8" s="2" t="s">
        <v>114</v>
      </c>
      <c r="G8" s="2" t="s">
        <v>115</v>
      </c>
      <c r="H8" s="2" t="s">
        <v>116</v>
      </c>
      <c r="I8" s="2" t="s">
        <v>117</v>
      </c>
      <c r="J8" s="2" t="s">
        <v>118</v>
      </c>
      <c r="K8" s="4" t="s">
        <v>85</v>
      </c>
      <c r="L8" s="2" t="s">
        <v>119</v>
      </c>
    </row>
    <row r="9" customFormat="false" ht="23.85" hidden="false" customHeight="false" outlineLevel="0" collapsed="false">
      <c r="A9" s="2" t="s">
        <v>120</v>
      </c>
      <c r="B9" s="2" t="s">
        <v>121</v>
      </c>
      <c r="C9" s="2" t="s">
        <v>122</v>
      </c>
      <c r="D9" s="2" t="s">
        <v>123</v>
      </c>
      <c r="E9" s="2" t="s">
        <v>124</v>
      </c>
      <c r="F9" s="2" t="s">
        <v>125</v>
      </c>
      <c r="G9" s="2" t="s">
        <v>126</v>
      </c>
      <c r="H9" s="2" t="s">
        <v>127</v>
      </c>
      <c r="I9" s="2" t="s">
        <v>128</v>
      </c>
      <c r="J9" s="2" t="s">
        <v>129</v>
      </c>
      <c r="K9" s="4" t="s">
        <v>85</v>
      </c>
      <c r="L9" s="2" t="s">
        <v>130</v>
      </c>
    </row>
    <row r="10" customFormat="false" ht="35.05" hidden="false" customHeight="false" outlineLevel="0" collapsed="false">
      <c r="A10" s="2" t="s">
        <v>131</v>
      </c>
      <c r="B10" s="2" t="s">
        <v>132</v>
      </c>
      <c r="C10" s="2" t="s">
        <v>133</v>
      </c>
      <c r="D10" s="2" t="s">
        <v>134</v>
      </c>
      <c r="E10" s="2" t="s">
        <v>135</v>
      </c>
      <c r="F10" s="2" t="s">
        <v>136</v>
      </c>
      <c r="G10" s="2" t="s">
        <v>137</v>
      </c>
      <c r="H10" s="2" t="s">
        <v>138</v>
      </c>
      <c r="I10" s="2" t="s">
        <v>139</v>
      </c>
      <c r="J10" s="2" t="s">
        <v>140</v>
      </c>
      <c r="K10" s="4" t="s">
        <v>85</v>
      </c>
      <c r="L10" s="2" t="s">
        <v>141</v>
      </c>
    </row>
    <row r="11" customFormat="false" ht="23.85" hidden="false" customHeight="false" outlineLevel="0" collapsed="false">
      <c r="A11" s="2" t="s">
        <v>142</v>
      </c>
      <c r="B11" s="2" t="s">
        <v>143</v>
      </c>
      <c r="C11" s="2" t="s">
        <v>144</v>
      </c>
      <c r="D11" s="2" t="s">
        <v>145</v>
      </c>
      <c r="E11" s="2" t="s">
        <v>146</v>
      </c>
      <c r="F11" s="2" t="s">
        <v>147</v>
      </c>
      <c r="G11" s="2" t="s">
        <v>148</v>
      </c>
      <c r="H11" s="2" t="s">
        <v>149</v>
      </c>
      <c r="I11" s="2" t="s">
        <v>150</v>
      </c>
      <c r="J11" s="2" t="s">
        <v>151</v>
      </c>
      <c r="K11" s="4" t="s">
        <v>85</v>
      </c>
      <c r="L11" s="2" t="s">
        <v>152</v>
      </c>
    </row>
    <row r="12" customFormat="false" ht="23.85" hidden="false" customHeight="false" outlineLevel="0" collapsed="false">
      <c r="A12" s="2" t="s">
        <v>153</v>
      </c>
      <c r="B12" s="2" t="s">
        <v>154</v>
      </c>
      <c r="C12" s="2" t="s">
        <v>154</v>
      </c>
      <c r="D12" s="2" t="s">
        <v>155</v>
      </c>
      <c r="E12" s="2" t="s">
        <v>154</v>
      </c>
      <c r="F12" s="2" t="s">
        <v>156</v>
      </c>
      <c r="G12" s="2" t="s">
        <v>154</v>
      </c>
      <c r="H12" s="2" t="s">
        <v>154</v>
      </c>
      <c r="I12" s="2" t="s">
        <v>154</v>
      </c>
      <c r="J12" s="2" t="s">
        <v>154</v>
      </c>
      <c r="K12" s="2" t="s">
        <v>157</v>
      </c>
      <c r="L12" s="2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1" t="s">
        <v>159</v>
      </c>
      <c r="B1" s="1" t="s">
        <v>160</v>
      </c>
      <c r="C1" s="1" t="s">
        <v>161</v>
      </c>
    </row>
    <row r="2" customFormat="false" ht="15" hidden="false" customHeight="false" outlineLevel="0" collapsed="false">
      <c r="A2" s="2" t="s">
        <v>162</v>
      </c>
      <c r="B2" s="5" t="n">
        <v>33</v>
      </c>
      <c r="C2" s="2"/>
    </row>
    <row r="3" customFormat="false" ht="15" hidden="false" customHeight="false" outlineLevel="0" collapsed="false">
      <c r="A3" s="2" t="s">
        <v>163</v>
      </c>
      <c r="B3" s="5" t="n">
        <v>22</v>
      </c>
      <c r="C3" s="2"/>
    </row>
    <row r="4" customFormat="false" ht="15" hidden="false" customHeight="false" outlineLevel="0" collapsed="false">
      <c r="A4" s="2" t="s">
        <v>164</v>
      </c>
      <c r="B4" s="5" t="n">
        <f aca="false">COUNTA('Casos de uso por tipo'!A2:A11)</f>
        <v>10</v>
      </c>
      <c r="C4" s="2" t="s">
        <v>165</v>
      </c>
    </row>
    <row r="5" customFormat="false" ht="15" hidden="false" customHeight="false" outlineLevel="0" collapsed="false">
      <c r="A5" s="2" t="s">
        <v>166</v>
      </c>
      <c r="B5" s="5" t="n">
        <f aca="false">COUNTIF('Casos de uso por tipo'!K2:K12,"Claro*")</f>
        <v>5</v>
      </c>
      <c r="C5" s="2"/>
    </row>
    <row r="6" customFormat="false" ht="15" hidden="false" customHeight="false" outlineLevel="0" collapsed="false">
      <c r="A6" s="2" t="s">
        <v>167</v>
      </c>
      <c r="B6" s="5" t="n">
        <f aca="false">COUNTIF('Casos de uso por tipo'!K2:K12,"Confirmar")</f>
        <v>5</v>
      </c>
      <c r="C6" s="2"/>
    </row>
    <row r="7" customFormat="false" ht="15" hidden="false" customHeight="false" outlineLevel="0" collapsed="false">
      <c r="A7" s="2" t="s">
        <v>168</v>
      </c>
      <c r="B7" s="5" t="n">
        <f aca="false">COUNTIF('Casos de uso por tipo'!K2:K12,"Excluir")</f>
        <v>1</v>
      </c>
      <c r="C7" s="2"/>
    </row>
    <row r="9" customFormat="false" ht="15" hidden="false" customHeight="false" outlineLevel="0" collapsed="false">
      <c r="A9" s="6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2026-10-27T17:42:05Z</dcterms:created>
  <dc:creator>openpyxl</dc:creator>
  <dc:description/>
  <dc:language>en-US</dc:language>
  <cp:lastModifiedBy/>
  <dcterms:modified xsi:type="dcterms:W3CDTF">2026-10-27T17:42:05Z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