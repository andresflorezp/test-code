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ario" sheetId="1" state="visible" r:id="rId3"/>
    <sheet name="Tecnologías" sheetId="2" state="visible" r:id="rId4"/>
    <sheet name="Playbooks POC" sheetId="3" state="visible" r:id="rId5"/>
    <sheet name="Casos de uso por tipo" sheetId="4" state="visible" r:id="rId6"/>
    <sheet name="Resumen" sheetId="5" state="visible" r:id="rId7"/>
  </sheets>
  <definedNames>
    <definedName function="false" hidden="true" localSheetId="2" name="_xlnm._FilterDatabase" vbProcedure="false">'Playbooks POC'!$A$1:$I$14</definedName>
    <definedName function="false" hidden="true" localSheetId="1" name="_xlnm._FilterDatabase" vbProcedure="false">Tecnologías!$A$1:$K$39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<sst xmlns="http://schemas.openxmlformats.org/spreadsheetml/2006/main" count="670" uniqueCount="378">
  <si>
    <t xml:space="preserve">Término</t>
  </si>
  <si>
    <t xml:space="preserve">Qué es</t>
  </si>
  <si>
    <t xml:space="preserve">Cuántos</t>
  </si>
  <si>
    <t xml:space="preserve">Ejemplo</t>
  </si>
  <si>
    <t xml:space="preserve">Tecnología (techstack)</t>
  </si>
  <si>
    <t xml:space="preserve">Lo que dice el Excel original</t>
  </si>
  <si>
    <t xml:space="preserve">33</t>
  </si>
  <si>
    <t xml:space="preserve">angular, WAS, Apigee</t>
  </si>
  <si>
    <t xml:space="preserve">Template RLM</t>
  </si>
  <si>
    <t xml:space="preserve">Cómo lo hace RLM hoy</t>
  </si>
  <si>
    <t xml:space="preserve">22</t>
  </si>
  <si>
    <t xml:space="preserve">filecopy, was_template, oraas_template</t>
  </si>
  <si>
    <t xml:space="preserve">Tipo de despliegue</t>
  </si>
  <si>
    <t xml:space="preserve">El mecanismo: copiar archivos, desplegar en app server, correr SQL, llamar una API…</t>
  </si>
  <si>
    <t xml:space="preserve">10</t>
  </si>
  <si>
    <t xml:space="preserve">filecopy, appserver, database, api</t>
  </si>
  <si>
    <t xml:space="preserve">Caso de uso</t>
  </si>
  <si>
    <t xml:space="preserve">Tipo de despliegue + sus variantes (sub-tipos) + sus pre/post pasos</t>
  </si>
  <si>
    <t xml:space="preserve">10 (con sub-tipos adentro)</t>
  </si>
  <si>
    <t xml:space="preserve">caso de uso filecopy: cubre 7 tecnologías</t>
  </si>
  <si>
    <t xml:space="preserve">Job Template en AAP</t>
  </si>
  <si>
    <t xml:space="preserve">Uno por tipo de despliegue</t>
  </si>
  <si>
    <t xml:space="preserve">deploy-filecopy, deploy-appserver</t>
  </si>
  <si>
    <t xml:space="preserve">Rol en banamex.deploy</t>
  </si>
  <si>
    <t xml:space="preserve">roles/filecopy, roles/appserver</t>
  </si>
  <si>
    <t xml:space="preserve">Instancia (NO es caso de uso)</t>
  </si>
  <si>
    <t xml:space="preserve">Una app específica o una tecnología sola; se diferencian solo por variables del inventario</t>
  </si>
  <si>
    <t xml:space="preserve">n/a</t>
  </si>
  <si>
    <t xml:space="preserve">pagos-web, OHS</t>
  </si>
  <si>
    <t xml:space="preserve">#</t>
  </si>
  <si>
    <t xml:space="preserve">workflow-CI</t>
  </si>
  <si>
    <t xml:space="preserve">techstack</t>
  </si>
  <si>
    <t xml:space="preserve">template RLM</t>
  </si>
  <si>
    <t xml:space="preserve">Playbook del POC (engauto)</t>
  </si>
  <si>
    <t xml:space="preserve">Job Template</t>
  </si>
  <si>
    <t xml:space="preserve">Sub-tipo (var del rol)</t>
  </si>
  <si>
    <t xml:space="preserve">Modo</t>
  </si>
  <si>
    <t xml:space="preserve">Estado</t>
  </si>
  <si>
    <t xml:space="preserve">Qué confirmar / notas</t>
  </si>
  <si>
    <t xml:space="preserve">npm</t>
  </si>
  <si>
    <t xml:space="preserve">angular</t>
  </si>
  <si>
    <t xml:space="preserve">filecopy</t>
  </si>
  <si>
    <t xml:space="preserve">— (sin POC)</t>
  </si>
  <si>
    <t xml:space="preserve">deploy-filecopy</t>
  </si>
  <si>
    <t xml:space="preserve">SSH</t>
  </si>
  <si>
    <t xml:space="preserve">Claro</t>
  </si>
  <si>
    <t xml:space="preserve">NODEJS</t>
  </si>
  <si>
    <t xml:space="preserve">Filecopy</t>
  </si>
  <si>
    <t xml:space="preserve">si corre con pm2/systemd, va en filecopy_service</t>
  </si>
  <si>
    <t xml:space="preserve">copy</t>
  </si>
  <si>
    <t xml:space="preserve">AHS</t>
  </si>
  <si>
    <t xml:space="preserve">IHS</t>
  </si>
  <si>
    <t xml:space="preserve">Shell_script</t>
  </si>
  <si>
    <t xml:space="preserve">gcg_rhel_engauto_cd_shellscript_poc (×3)</t>
  </si>
  <si>
    <t xml:space="preserve">¿solo copia o también ejecuta el script? Revisar el playbook del POC</t>
  </si>
  <si>
    <t xml:space="preserve">Tuxido</t>
  </si>
  <si>
    <t xml:space="preserve">Tuxedo suele requerir tmshutdown/tmboot: pre/post step</t>
  </si>
  <si>
    <t xml:space="preserve">OHS</t>
  </si>
  <si>
    <t xml:space="preserve">ORAAS</t>
  </si>
  <si>
    <t xml:space="preserve">oraas_template</t>
  </si>
  <si>
    <t xml:space="preserve">gcg_rhel_engauto_cd_oraas_poc</t>
  </si>
  <si>
    <t xml:space="preserve">database</t>
  </si>
  <si>
    <t xml:space="preserve">deploy-database</t>
  </si>
  <si>
    <t xml:space="preserve">db_engine: oracle</t>
  </si>
  <si>
    <t xml:space="preserve">local (sqlplus)</t>
  </si>
  <si>
    <t xml:space="preserve">Confirmar</t>
  </si>
  <si>
    <t xml:space="preserve">¿scripts SQL versionados o despliegue de objetos? ¿rollback con script inverso?</t>
  </si>
  <si>
    <t xml:space="preserve">teradata</t>
  </si>
  <si>
    <t xml:space="preserve">teradata_template</t>
  </si>
  <si>
    <t xml:space="preserve">gcg_rhel_engauto_cd_teradata_poc</t>
  </si>
  <si>
    <t xml:space="preserve">db_engine: teradata</t>
  </si>
  <si>
    <t xml:space="preserve">local (bteq)</t>
  </si>
  <si>
    <t xml:space="preserve">cliente bteq en el EE</t>
  </si>
  <si>
    <t xml:space="preserve">MSSQL</t>
  </si>
  <si>
    <t xml:space="preserve">mssql_template</t>
  </si>
  <si>
    <t xml:space="preserve">gcg_windows_engauto_mssql_poc</t>
  </si>
  <si>
    <t xml:space="preserve">db_engine: mssql</t>
  </si>
  <si>
    <t xml:space="preserve">local (sqlcmd) o WinRM</t>
  </si>
  <si>
    <t xml:space="preserve">el POC corre desde Windows: ¿sqlcmd remoto o en el servidor? Auth SQL o dominio</t>
  </si>
  <si>
    <t xml:space="preserve">MONGO</t>
  </si>
  <si>
    <t xml:space="preserve">mongo_template</t>
  </si>
  <si>
    <t xml:space="preserve">gcg_rhel_engauto_cd_mongo_poc</t>
  </si>
  <si>
    <t xml:space="preserve">db_engine: mongo</t>
  </si>
  <si>
    <t xml:space="preserve">local (mongosh)</t>
  </si>
  <si>
    <t xml:space="preserve">SOLACE</t>
  </si>
  <si>
    <t xml:space="preserve">solace_template</t>
  </si>
  <si>
    <t xml:space="preserve">platform</t>
  </si>
  <si>
    <t xml:space="preserve">deploy-platform</t>
  </si>
  <si>
    <t xml:space="preserve">platform: solace</t>
  </si>
  <si>
    <t xml:space="preserve">REST (SEMP)</t>
  </si>
  <si>
    <t xml:space="preserve">¿se despliegan queues/topics o una app cliente?</t>
  </si>
  <si>
    <t xml:space="preserve">TABLEAU</t>
  </si>
  <si>
    <t xml:space="preserve">tableau_template</t>
  </si>
  <si>
    <t xml:space="preserve">platform: tableau</t>
  </si>
  <si>
    <t xml:space="preserve">REST / tabcmd</t>
  </si>
  <si>
    <t xml:space="preserve">publicación de workbooks vía tabcmd o REST API</t>
  </si>
  <si>
    <t xml:space="preserve">cognos</t>
  </si>
  <si>
    <t xml:space="preserve">cognos_template</t>
  </si>
  <si>
    <t xml:space="preserve">platform: cognos</t>
  </si>
  <si>
    <t xml:space="preserve">REST / CLI</t>
  </si>
  <si>
    <t xml:space="preserve">¿deployment archive por consola o por SDK?</t>
  </si>
  <si>
    <t xml:space="preserve">Pinot</t>
  </si>
  <si>
    <t xml:space="preserve">pinot template</t>
  </si>
  <si>
    <t xml:space="preserve">platform: pinot</t>
  </si>
  <si>
    <t xml:space="preserve">REST (controller)</t>
  </si>
  <si>
    <t xml:space="preserve">¿schemas/tablas o ingestion jobs?</t>
  </si>
  <si>
    <t xml:space="preserve">Flink</t>
  </si>
  <si>
    <t xml:space="preserve">Flink_template</t>
  </si>
  <si>
    <t xml:space="preserve">flink</t>
  </si>
  <si>
    <t xml:space="preserve">deploy-flink</t>
  </si>
  <si>
    <t xml:space="preserve">REST (JobManager)</t>
  </si>
  <si>
    <t xml:space="preserve">savepoint en stop; mismo caso que fila 36</t>
  </si>
  <si>
    <t xml:space="preserve">java</t>
  </si>
  <si>
    <t xml:space="preserve">WAS</t>
  </si>
  <si>
    <t xml:space="preserve">was_template</t>
  </si>
  <si>
    <t xml:space="preserve">gcg_rhel_engauto_cd_wasnd_poc (×2)</t>
  </si>
  <si>
    <t xml:space="preserve">appserver</t>
  </si>
  <si>
    <t xml:space="preserve">deploy-appserver</t>
  </si>
  <si>
    <t xml:space="preserve">appserver: was</t>
  </si>
  <si>
    <t xml:space="preserve">SSH + wsadmin</t>
  </si>
  <si>
    <t xml:space="preserve">"wasnd" = WAS Network Deployment: confirma que es contra Deployment Manager (cluster)</t>
  </si>
  <si>
    <t xml:space="preserve">vendorBinary</t>
  </si>
  <si>
    <t xml:space="preserve">EXPRESSIT</t>
  </si>
  <si>
    <t xml:space="preserve">gcg_rhel_engauto_cd_wasnd_poc</t>
  </si>
  <si>
    <t xml:space="preserve">binario de vendor sobre WAS: ¿ear normal o instalador propio?</t>
  </si>
  <si>
    <t xml:space="preserve">WAS_Liberty</t>
  </si>
  <si>
    <t xml:space="preserve">liberty_template</t>
  </si>
  <si>
    <t xml:space="preserve">gcg_rhel_engauto_cd_wliberty_poc</t>
  </si>
  <si>
    <t xml:space="preserve">appserver: liberty</t>
  </si>
  <si>
    <t xml:space="preserve">SSH (dropins)</t>
  </si>
  <si>
    <t xml:space="preserve">WebLogic</t>
  </si>
  <si>
    <t xml:space="preserve">wl_template</t>
  </si>
  <si>
    <t xml:space="preserve">gcg_rhel_engauto_cd_webl_poc/ (carpeta)</t>
  </si>
  <si>
    <t xml:space="preserve">appserver: weblogic</t>
  </si>
  <si>
    <t xml:space="preserve">SSH + wlst</t>
  </si>
  <si>
    <t xml:space="preserve">es una carpeta: ver cuántos playbooks tiene adentro. ¿cluster con Admin Server?</t>
  </si>
  <si>
    <t xml:space="preserve">Avoka</t>
  </si>
  <si>
    <t xml:space="preserve">avoka_template</t>
  </si>
  <si>
    <t xml:space="preserve">gcg_rhel_engauto_cd_avoka_poc</t>
  </si>
  <si>
    <t xml:space="preserve">appserver: avoka</t>
  </si>
  <si>
    <t xml:space="preserve">Avoka corre sobre Tomcat/WebLogic: puede ser subtipo de uno de ellos</t>
  </si>
  <si>
    <t xml:space="preserve">gradle</t>
  </si>
  <si>
    <t xml:space="preserve">"gradle" es el build, no el destino; verificar</t>
  </si>
  <si>
    <t xml:space="preserve">springBoot</t>
  </si>
  <si>
    <t xml:space="preserve">Gemfire</t>
  </si>
  <si>
    <t xml:space="preserve">openshift_template</t>
  </si>
  <si>
    <t xml:space="preserve">openshift</t>
  </si>
  <si>
    <t xml:space="preserve">deploy-openshift</t>
  </si>
  <si>
    <t xml:space="preserve">local (oc)</t>
  </si>
  <si>
    <t xml:space="preserve">JAVA OPENSHIFT</t>
  </si>
  <si>
    <t xml:space="preserve">¿imagen ya construida o build en OCP?</t>
  </si>
  <si>
    <t xml:space="preserve">Copy,vendorB</t>
  </si>
  <si>
    <t xml:space="preserve">Tomcat</t>
  </si>
  <si>
    <t xml:space="preserve">tomcat_template</t>
  </si>
  <si>
    <t xml:space="preserve">gcg_rhel_engauto_cd_tomcat_poc</t>
  </si>
  <si>
    <t xml:space="preserve">appserver: tomcat</t>
  </si>
  <si>
    <t xml:space="preserve">ABINITIO-Man</t>
  </si>
  <si>
    <t xml:space="preserve">ABINITIO</t>
  </si>
  <si>
    <t xml:space="preserve">Abinitio_template</t>
  </si>
  <si>
    <t xml:space="preserve">platform: abinitio</t>
  </si>
  <si>
    <t xml:space="preserve">SSH + air CLI</t>
  </si>
  <si>
    <t xml:space="preserve">air project import/export; ¿EME?</t>
  </si>
  <si>
    <t xml:space="preserve">msbuild</t>
  </si>
  <si>
    <t xml:space="preserve">DOTNET</t>
  </si>
  <si>
    <t xml:space="preserve">WIN-FILECOPY</t>
  </si>
  <si>
    <t xml:space="preserve">gcg_windows_engauto_cd_msbuild_poc</t>
  </si>
  <si>
    <t xml:space="preserve">filecopy_win</t>
  </si>
  <si>
    <t xml:space="preserve">deploy-filecopy-win</t>
  </si>
  <si>
    <t xml:space="preserve">WinRM</t>
  </si>
  <si>
    <t xml:space="preserve">¿IIS? entonces app pool stop/start en pre/post. Ojo: "msbuild" sugiere que el POC compilaba en el deploy; eso debe quedar en CI</t>
  </si>
  <si>
    <t xml:space="preserve">.zip</t>
  </si>
  <si>
    <t xml:space="preserve">KAFKA</t>
  </si>
  <si>
    <t xml:space="preserve">kafka_template</t>
  </si>
  <si>
    <t xml:space="preserve">kafka</t>
  </si>
  <si>
    <t xml:space="preserve">deploy-kafka</t>
  </si>
  <si>
    <t xml:space="preserve">kafka_kind: connector | topic | schema</t>
  </si>
  <si>
    <t xml:space="preserve">REST</t>
  </si>
  <si>
    <t xml:space="preserve">si son 3 cosas distintas, 3 subtipos del mismo rol</t>
  </si>
  <si>
    <t xml:space="preserve">PYTHONCOP</t>
  </si>
  <si>
    <t xml:space="preserve">PYTHON</t>
  </si>
  <si>
    <t xml:space="preserve">python_template</t>
  </si>
  <si>
    <t xml:space="preserve">script</t>
  </si>
  <si>
    <t xml:space="preserve">deploy-script</t>
  </si>
  <si>
    <t xml:space="preserve">probablemente filecopy + pip install en venv; si es así, es subtipo de filecopy</t>
  </si>
  <si>
    <t xml:space="preserve">TIBCO</t>
  </si>
  <si>
    <t xml:space="preserve">TIBCO BPM</t>
  </si>
  <si>
    <t xml:space="preserve">tibco_template</t>
  </si>
  <si>
    <t xml:space="preserve">gcg_rhel_engauto_cd_tibco_poc</t>
  </si>
  <si>
    <t xml:space="preserve">platform: tibco</t>
  </si>
  <si>
    <t xml:space="preserve">SSH + AppManage</t>
  </si>
  <si>
    <t xml:space="preserve">ear de TIBCO vía AppManage o Admin REST</t>
  </si>
  <si>
    <t xml:space="preserve">apigeeConfig</t>
  </si>
  <si>
    <t xml:space="preserve">APIGEE*</t>
  </si>
  <si>
    <t xml:space="preserve">apigee_template</t>
  </si>
  <si>
    <t xml:space="preserve">api</t>
  </si>
  <si>
    <t xml:space="preserve">deploy-api</t>
  </si>
  <si>
    <t xml:space="preserve">apigee_kind: config</t>
  </si>
  <si>
    <t xml:space="preserve">apigeeProduct</t>
  </si>
  <si>
    <t xml:space="preserve">APIGEE</t>
  </si>
  <si>
    <t xml:space="preserve">apigee_kind: product</t>
  </si>
  <si>
    <t xml:space="preserve">apigeeProxy</t>
  </si>
  <si>
    <t xml:space="preserve">apigee_kind: proxy</t>
  </si>
  <si>
    <t xml:space="preserve">apigeeShared</t>
  </si>
  <si>
    <t xml:space="preserve">apigee_kind: sharedflow</t>
  </si>
  <si>
    <t xml:space="preserve">—</t>
  </si>
  <si>
    <t xml:space="preserve">FLINK (amarillo)</t>
  </si>
  <si>
    <t xml:space="preserve">Aclarar</t>
  </si>
  <si>
    <t xml:space="preserve">ya está en la fila 16: ¿otro cluster, otro job, o duplicado?</t>
  </si>
  <si>
    <t xml:space="preserve">HCV (amarillo)</t>
  </si>
  <si>
    <t xml:space="preserve">no es despliegue</t>
  </si>
  <si>
    <t xml:space="preserve">Excluir</t>
  </si>
  <si>
    <t xml:space="preserve">HashiCorp Vault es la fuente de secretos de todos los roles, no un tipo</t>
  </si>
  <si>
    <t xml:space="preserve">? (TBD en la lista del POC)</t>
  </si>
  <si>
    <t xml:space="preserve">TBD</t>
  </si>
  <si>
    <t xml:space="preserve">?</t>
  </si>
  <si>
    <t xml:space="preserve">la lista del POC tiene una fila TBD: preguntar a qué tecnología corresponde</t>
  </si>
  <si>
    <t xml:space="preserve">Playbook del POC</t>
  </si>
  <si>
    <t xml:space="preserve">SO</t>
  </si>
  <si>
    <t xml:space="preserve">Tecnología</t>
  </si>
  <si>
    <t xml:space="preserve">Veces en la lista</t>
  </si>
  <si>
    <t xml:space="preserve">Rol destino</t>
  </si>
  <si>
    <t xml:space="preserve">Sub-tipo</t>
  </si>
  <si>
    <t xml:space="preserve">Qué extraer al revisarlo</t>
  </si>
  <si>
    <t xml:space="preserve">Revisado</t>
  </si>
  <si>
    <t xml:space="preserve">Notas de la revisión</t>
  </si>
  <si>
    <t xml:space="preserve">gcg_rhel_engauto_cd_shellscript_poc</t>
  </si>
  <si>
    <t xml:space="preserve">rhel</t>
  </si>
  <si>
    <t xml:space="preserve">pasos de copia, usuario, ¿ejecuta el script?, backup, reinicio</t>
  </si>
  <si>
    <t xml:space="preserve">No</t>
  </si>
  <si>
    <t xml:space="preserve">tomcat</t>
  </si>
  <si>
    <t xml:space="preserve">cómo despliega el war (manager / copia a webapps), stop/start, usuario tomcat</t>
  </si>
  <si>
    <t xml:space="preserve">WAS ND</t>
  </si>
  <si>
    <t xml:space="preserve">was</t>
  </si>
  <si>
    <t xml:space="preserve">script wsadmin, host del DMgr, sync de nodos, cluster target</t>
  </si>
  <si>
    <t xml:space="preserve">WAS Liberty</t>
  </si>
  <si>
    <t xml:space="preserve">liberty</t>
  </si>
  <si>
    <t xml:space="preserve">dropins vs server.xml, usuario, reinicio</t>
  </si>
  <si>
    <t xml:space="preserve">gcg_rhel_engauto_cd_webl_poc/</t>
  </si>
  <si>
    <t xml:space="preserve">weblogic</t>
  </si>
  <si>
    <t xml:space="preserve">es carpeta: listar playbooks adentro; wlst, Admin Server, targets</t>
  </si>
  <si>
    <t xml:space="preserve">avoka</t>
  </si>
  <si>
    <t xml:space="preserve">sobre qué servidor corre; si es igual a tomcat/weblogic se fusiona</t>
  </si>
  <si>
    <t xml:space="preserve">Oracle</t>
  </si>
  <si>
    <t xml:space="preserve">oracle</t>
  </si>
  <si>
    <t xml:space="preserve">cliente usado, orden de scripts, control de versión, rollback</t>
  </si>
  <si>
    <t xml:space="preserve">Teradata</t>
  </si>
  <si>
    <t xml:space="preserve">bteq, credenciales, scripts</t>
  </si>
  <si>
    <t xml:space="preserve">windows</t>
  </si>
  <si>
    <t xml:space="preserve">mssql</t>
  </si>
  <si>
    <t xml:space="preserve">¿corre en el servidor por WinRM o sqlcmd remoto?; auth</t>
  </si>
  <si>
    <t xml:space="preserve">Mongo</t>
  </si>
  <si>
    <t xml:space="preserve">mongo</t>
  </si>
  <si>
    <t xml:space="preserve">mongosh, scripts js, auth</t>
  </si>
  <si>
    <t xml:space="preserve">tibco</t>
  </si>
  <si>
    <t xml:space="preserve">AppManage vs REST, ear, dominio</t>
  </si>
  <si>
    <t xml:space="preserve">DOTNET / .zip</t>
  </si>
  <si>
    <t xml:space="preserve">¿compila en el deploy? (debe irse a CI), IIS app pool, rutas</t>
  </si>
  <si>
    <t xml:space="preserve">preguntar qué era</t>
  </si>
  <si>
    <t xml:space="preserve">Convención del nombre: gcg_&lt;so&gt;_engauto_cd_&lt;tecnología&gt;_poc → org_SO_equipo_cd_tecnología_poc. En el modelo nuevo el SO va al inventario (linux.yml / windows.yml) y la tecnología es un sub-tipo del rol, no un playbook aparte.</t>
  </si>
  <si>
    <t xml:space="preserve">Columna 'Revisado': cambiar a Sí cuando se haya leído el playbook y volcado lo extraído en el rol / inventario.</t>
  </si>
  <si>
    <t xml:space="preserve">Rol</t>
  </si>
  <si>
    <t xml:space="preserve">Tecnologías que cubre</t>
  </si>
  <si>
    <t xml:space="preserve">Templates RLM que reemplaza</t>
  </si>
  <si>
    <t xml:space="preserve">Playbooks del POC (engauto) que cubre</t>
  </si>
  <si>
    <t xml:space="preserve">Mecanismo (pasos)</t>
  </si>
  <si>
    <t xml:space="preserve">Modo de ejecución</t>
  </si>
  <si>
    <t xml:space="preserve">Variantes / sub-tipos (var del rol)</t>
  </si>
  <si>
    <t xml:space="preserve">Qué cambia por app (inventario)</t>
  </si>
  <si>
    <t xml:space="preserve">Rollback</t>
  </si>
  <si>
    <t xml:space="preserve">Qué confirmar con el equipo dueño</t>
  </si>
  <si>
    <t xml:space="preserve">roles/filecopy</t>
  </si>
  <si>
    <t xml:space="preserve">angular, NodeJS, AHS, IHS, Shell_script, Tuxedo, OHS (y quizás Python)</t>
  </si>
  <si>
    <t xml:space="preserve">filecopy, Filecopy</t>
  </si>
  <si>
    <t xml:space="preserve">SSH → precheck → bajar artefacto → backup → detener servicio → copiar/descomprimir → permisos → arrancar servicio → healthcheck → audit</t>
  </si>
  <si>
    <t xml:space="preserve">SSH (entra al servidor)</t>
  </si>
  <si>
    <t xml:space="preserve">con servicio / sin servicio; pre-step (tmshutdown/tmboot en Tuxedo); post-step (pip install en Python)</t>
  </si>
  <si>
    <t xml:space="preserve">filecopy_dest, filecopy_owner, filecopy_group, filecopy_service, filecopy_healthcheck_url</t>
  </si>
  <si>
    <t xml:space="preserve">Restaurar el último backup (.tgz) y reiniciar servicio</t>
  </si>
  <si>
    <t xml:space="preserve">Shell_script: ¿solo copia o también ejecuta? NodeJS: ¿pm2 o systemd?</t>
  </si>
  <si>
    <t xml:space="preserve">roles/filecopy_win</t>
  </si>
  <si>
    <t xml:space="preserve">DOTNET, .zip (vendorBinary)</t>
  </si>
  <si>
    <t xml:space="preserve">WinRM → precheck → bajar artefacto → backup → detener app pool/servicio → copiar → arrancar → healthcheck → audit (módulos win_*)</t>
  </si>
  <si>
    <t xml:space="preserve">WinRM + Kerberos (entra al servidor)</t>
  </si>
  <si>
    <t xml:space="preserve">con IIS (app pool stop/start) / sin IIS (servicio Windows)</t>
  </si>
  <si>
    <t xml:space="preserve">filecopy_dest, filecopy_service o app_pool, healthcheck_url</t>
  </si>
  <si>
    <t xml:space="preserve">Restaurar backup y reiniciar app pool/servicio</t>
  </si>
  <si>
    <t xml:space="preserve">¿IIS o servicio Windows? Cuenta de dominio para WinRM</t>
  </si>
  <si>
    <t xml:space="preserve">roles/appserver (tasks/was.yml, liberty.yml, weblogic.yml, tomcat.yml, avoka.yml)</t>
  </si>
  <si>
    <t xml:space="preserve">WAS, EXPRESSIT, WAS_Liberty, WebLogic, Avoka, gradle(Avoka), Tomcat</t>
  </si>
  <si>
    <t xml:space="preserve">was_template, liberty_template, wl_template, avoka_template, tomcat_template</t>
  </si>
  <si>
    <t xml:space="preserve">gcg_rhel_engauto_cd_tomcat_poc · gcg_rhel_engauto_cd_wasnd_poc (×2) · gcg_rhel_engauto_cd_wliberty_poc · gcg_rhel_engauto_cd_webl_poc/ · gcg_rhel_engauto_cd_avoka_poc</t>
  </si>
  <si>
    <t xml:space="preserve">SSH → bajar war/ear → backup del deploy actual → undeploy/deploy vía CLI del servidor (wsadmin, wlst, manager/dropins) → reinicio si aplica → healthcheck → audit</t>
  </si>
  <si>
    <t xml:space="preserve">SSH + CLI del app server (wsadmin, wlst, manager)</t>
  </si>
  <si>
    <t xml:space="preserve">appserver: was | liberty | weblogic | tomcat | avoka; standalone vs cluster (DMgr / Admin Server)</t>
  </si>
  <si>
    <t xml:space="preserve">app_name, context_root, appserver_home, admin_host/port, become_user, healthcheck_url</t>
  </si>
  <si>
    <t xml:space="preserve">Redeploy del ear/war anterior (backup) vía misma CLI</t>
  </si>
  <si>
    <t xml:space="preserve">Claro (Avoka y ExpressIT por confirmar)</t>
  </si>
  <si>
    <t xml:space="preserve">WAS: ¿Deployment Manager o standalone? WebLogic: ¿cluster con Admin Server? Avoka/ExpressIT: ¿ear normal o instalador propio?</t>
  </si>
  <si>
    <t xml:space="preserve">roles/database (tasks/oracle.yml, mssql.yml, teradata.yml, mongo.yml)</t>
  </si>
  <si>
    <t xml:space="preserve">ORAAS (Oracle), Teradata, MSSQL, Mongo</t>
  </si>
  <si>
    <t xml:space="preserve">oraas_template, teradata_template, mssql_template, mongo_template</t>
  </si>
  <si>
    <t xml:space="preserve">gcg_rhel_engauto_cd_oraas_poc · gcg_rhel_engauto_cd_teradata_poc · gcg_windows_engauto_mssql_poc · gcg_rhel_engauto_cd_mongo_poc</t>
  </si>
  <si>
    <t xml:space="preserve">local → bajar paquete de scripts → validar orden/versión → ejecutar scripts con el cliente (sqlplus, sqlcmd, bteq, mongosh) → registrar versión aplicada → audit</t>
  </si>
  <si>
    <t xml:space="preserve">Local desde el nodo de control (cliente SQL en el EE)</t>
  </si>
  <si>
    <t xml:space="preserve">db_engine: oracle | mssql | teradata | mongo</t>
  </si>
  <si>
    <t xml:space="preserve">db_host, db_name, db_user (secreto en Vault), schema, scripts_path</t>
  </si>
  <si>
    <t xml:space="preserve">Script inverso (down) si existe; si no, restore manual: documentar</t>
  </si>
  <si>
    <t xml:space="preserve">¿Scripts SQL versionados o despliegue de objetos? ¿Hay script de rollback? MSSQL: ¿auth SQL o dominio? Clientes en el EE</t>
  </si>
  <si>
    <t xml:space="preserve">roles/openshift</t>
  </si>
  <si>
    <t xml:space="preserve">Gemfire, JAVA OPENSHIFT (springBoot)</t>
  </si>
  <si>
    <t xml:space="preserve">— (no cubierto en el POC)</t>
  </si>
  <si>
    <t xml:space="preserve">local → login oc con service account → aplicar manifiestos/Helm con la imagen:tag → esperar rollout → healthcheck de ruta → audit</t>
  </si>
  <si>
    <t xml:space="preserve">Local (kubernetes.core / oc)</t>
  </si>
  <si>
    <t xml:space="preserve">imagen ya construida vs build en OCP; Deployment vs DeploymentConfig</t>
  </si>
  <si>
    <t xml:space="preserve">namespace, deployment_name, image, replicas, route_url</t>
  </si>
  <si>
    <t xml:space="preserve">oc rollout undo o aplicar tag anterior</t>
  </si>
  <si>
    <t xml:space="preserve">¿La imagen la construye GHA o OCP (S2I)?</t>
  </si>
  <si>
    <t xml:space="preserve">roles/api (tasks/apigee_*.yml)</t>
  </si>
  <si>
    <t xml:space="preserve">APIGEE (config, product, proxy, sharedflow)</t>
  </si>
  <si>
    <t xml:space="preserve">local → bajar bundle → llamar API de Apigee (import revision → deploy a env) → verificar revisión activa → audit</t>
  </si>
  <si>
    <t xml:space="preserve">Local (REST Apigee Management API)</t>
  </si>
  <si>
    <t xml:space="preserve">apigee_kind: config | product | proxy | sharedflow</t>
  </si>
  <si>
    <t xml:space="preserve">apigee_org, apigee_env, proxy_name, token (Vault)</t>
  </si>
  <si>
    <t xml:space="preserve">Deploy de la revisión anterior</t>
  </si>
  <si>
    <t xml:space="preserve">Confirmar si los 4 workflows difieren en algo más que el tipo de recurso</t>
  </si>
  <si>
    <t xml:space="preserve">roles/kafka</t>
  </si>
  <si>
    <t xml:space="preserve">local → bajar config → llamar REST de Kafka Connect / Schema Registry / Admin API → verificar estado RUNNING → audit</t>
  </si>
  <si>
    <t xml:space="preserve">Local (REST)</t>
  </si>
  <si>
    <t xml:space="preserve">bootstrap, connect_url, connector_name, topic config</t>
  </si>
  <si>
    <t xml:space="preserve">Reaplicar config anterior del connector/schema</t>
  </si>
  <si>
    <t xml:space="preserve">¿Qué se despliega hoy con kafka_template: connectors, topics, schemas, o las tres?</t>
  </si>
  <si>
    <t xml:space="preserve">roles/flink</t>
  </si>
  <si>
    <t xml:space="preserve">Flink (fila 16) y FLINK amarillo</t>
  </si>
  <si>
    <t xml:space="preserve">local → bajar jar → stop con savepoint (REST JobManager) → upload jar → run desde savepoint → verificar RUNNING → audit</t>
  </si>
  <si>
    <t xml:space="preserve">Local (REST JobManager) o CLI flink run</t>
  </si>
  <si>
    <t xml:space="preserve">con savepoint / sin savepoint</t>
  </si>
  <si>
    <t xml:space="preserve">jobmanager_url, job_name, entry_class, parallelism, savepoint_dir</t>
  </si>
  <si>
    <t xml:space="preserve">Relanzar jar anterior desde el último savepoint</t>
  </si>
  <si>
    <t xml:space="preserve">Aclarar por qué aparece dos veces en el Excel (¿otro cluster, otro job, duplicado?)</t>
  </si>
  <si>
    <t xml:space="preserve">roles/platform (tasks/solace.yml, tableau.yml, cognos.yml, pinot.yml, abinitio.yml, tibco.yml)</t>
  </si>
  <si>
    <t xml:space="preserve">SOLACE, TABLEAU, cognos, Pinot, ABINITIO, TIBCO BPM</t>
  </si>
  <si>
    <t xml:space="preserve">solace_template, tableau_template, cognos_template, pinot template, Abinitio_template, tibco_template</t>
  </si>
  <si>
    <t xml:space="preserve">gcg_rhel_engauto_cd_tibco_poc (solo TIBCO; Solace, Tableau, Cognos, Pinot, Ab Initio sin POC)</t>
  </si>
  <si>
    <t xml:space="preserve">Cada plataforma tiene su CLI/REST propia: bajar artefacto → llamar la herramienta (SEMP, tabcmd, SDK Cognos, controller Pinot, air CLI, AppManage) → verificar → audit</t>
  </si>
  <si>
    <t xml:space="preserve">Mixto: REST local (Solace, Tableau, Pinot) / SSH + CLI (Ab Initio, TIBCO)</t>
  </si>
  <si>
    <t xml:space="preserve">platform: solace | tableau | cognos | pinot | abinitio | tibco</t>
  </si>
  <si>
    <t xml:space="preserve">URL/host de la plataforma, credencial en Vault, nombre del objeto</t>
  </si>
  <si>
    <t xml:space="preserve">Depende de la plataforma; documentar por sub-tipo</t>
  </si>
  <si>
    <t xml:space="preserve">Es el grupo más incierto: si alguna se despliega copiando archivos + reinicio, se mueve a filecopy. Puede partirse en 2–3 roles.</t>
  </si>
  <si>
    <t xml:space="preserve">roles/script (o sub-tipo de filecopy)</t>
  </si>
  <si>
    <t xml:space="preserve">PYTHON (PYTHONCOP)</t>
  </si>
  <si>
    <t xml:space="preserve">SSH → bajar paquete → copiar → crear/actualizar venv (pip install -r) → reiniciar servicio si aplica → smoke test → audit</t>
  </si>
  <si>
    <t xml:space="preserve">probablemente sub-tipo de filecopy con post-step pip</t>
  </si>
  <si>
    <t xml:space="preserve">dest, venv_path, service, requirements</t>
  </si>
  <si>
    <t xml:space="preserve">Restaurar backup del paquete y del venv</t>
  </si>
  <si>
    <t xml:space="preserve">Si solo es copia + pip, se elimina este tipo y queda como variante de filecopy</t>
  </si>
  <si>
    <t xml:space="preserve">(excluido) HCV</t>
  </si>
  <si>
    <t xml:space="preserve">HCV (HashiCorp Vault)</t>
  </si>
  <si>
    <t xml:space="preserve">No es un tipo de despliegue: es la fuente de secretos que usan todos los roles (lookup hashi_vault)</t>
  </si>
  <si>
    <t xml:space="preserve">Confirmar que HCV en el Excel se refiere a Vault y no a otra cosa</t>
  </si>
  <si>
    <t xml:space="preserve">Métrica</t>
  </si>
  <si>
    <t xml:space="preserve">Valor</t>
  </si>
  <si>
    <t xml:space="preserve">Fórmula</t>
  </si>
  <si>
    <t xml:space="preserve">Tecnologías en el Excel</t>
  </si>
  <si>
    <t xml:space="preserve">Templates RLM</t>
  </si>
  <si>
    <t xml:space="preserve">Tipos de despliegue / Job Templates</t>
  </si>
  <si>
    <t xml:space="preserve">sin contar HCV (excluido)</t>
  </si>
  <si>
    <t xml:space="preserve">Tipos claros</t>
  </si>
  <si>
    <t xml:space="preserve">Tipos por confirmar</t>
  </si>
  <si>
    <t xml:space="preserve">Tipos excluidos</t>
  </si>
  <si>
    <t xml:space="preserve">Playbooks distintos en el POC</t>
  </si>
  <si>
    <t xml:space="preserve">sin contar el TBD</t>
  </si>
  <si>
    <t xml:space="preserve">Tecnologías del Excel con playbook en el POC</t>
  </si>
  <si>
    <t xml:space="preserve">filas 1–35; excluye amarillas y TBD</t>
  </si>
  <si>
    <t xml:space="preserve">Tecnologías del Excel sin POC</t>
  </si>
  <si>
    <t xml:space="preserve">Playbooks POC revisados</t>
  </si>
  <si>
    <t xml:space="preserve">se actualiza al marcar la columna Revisado</t>
  </si>
  <si>
    <t xml:space="preserve">Fuente: Excel de tecnologías (33 / 22 templates RLM), lista de playbooks del POC engauto (captura del 27-oct-2026) y clasificación propuesta en sesión.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</si>
</sst>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D655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3F1E7"/>
        <bgColor rgb="FFECEEE9"/>
      </patternFill>
    </fill>
    <fill>
      <patternFill patternType="solid">
        <fgColor rgb="FFF3E7D6"/>
        <bgColor rgb="FFECEEE9"/>
      </patternFill>
    </fill>
    <fill>
      <patternFill patternType="solid">
        <fgColor rgb="FFECEEE9"/>
        <bgColor rgb="FFE3F1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6"/>
      </left>
      <right style="thin">
        <color rgb="FFC9CFC6"/>
      </right>
      <top style="thin">
        <color rgb="FFC9CFC6"/>
      </top>
      <bottom style="thin">
        <color rgb="FFC9C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7"/>
          <bgColor rgb="FF000000"/>
        </patternFill>
      </fill>
    </dxf>
    <dxf>
      <fill>
        <patternFill patternType="solid">
          <fgColor rgb="FFECEEE9"/>
          <bgColor rgb="FF000000"/>
        </patternFill>
      </fill>
    </dxf>
    <dxf>
      <fill>
        <patternFill patternType="solid">
          <fgColor rgb="FFF3E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9CFC6"/>
      <rgbColor rgb="FF808080"/>
      <rgbColor rgb="FF9999FF"/>
      <rgbColor rgb="FF993366"/>
      <rgbColor rgb="FFECEEE9"/>
      <rgbColor rgb="FFE3F1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  <col collapsed="false" customWidth="true" hidden="false" outlineLevel="0" max="3" min="3" style="1" width="22"/>
    <col collapsed="false" customWidth="true" hidden="false" outlineLevel="0" max="4" min="4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5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15" hidden="false" customHeight="true" outlineLevel="0" collapsed="false">
      <c r="A6" s="3" t="s">
        <v>20</v>
      </c>
      <c r="B6" s="3" t="s">
        <v>21</v>
      </c>
      <c r="C6" s="3" t="s">
        <v>14</v>
      </c>
      <c r="D6" s="3" t="s">
        <v>22</v>
      </c>
    </row>
    <row r="7" customFormat="false" ht="15" hidden="false" customHeight="true" outlineLevel="0" collapsed="false">
      <c r="A7" s="3" t="s">
        <v>23</v>
      </c>
      <c r="B7" s="3" t="s">
        <v>21</v>
      </c>
      <c r="C7" s="3" t="s">
        <v>14</v>
      </c>
      <c r="D7" s="3" t="s">
        <v>24</v>
      </c>
    </row>
    <row r="8" customFormat="false" ht="23.25" hidden="false" customHeight="true" outlineLevel="0" collapsed="false">
      <c r="A8" s="3" t="s">
        <v>25</v>
      </c>
      <c r="B8" s="3" t="s">
        <v>26</v>
      </c>
      <c r="C8" s="3" t="s">
        <v>27</v>
      </c>
      <c r="D8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32"/>
    <col collapsed="false" customWidth="true" hidden="false" outlineLevel="0" max="9" min="9" style="1" width="20"/>
    <col collapsed="false" customWidth="true" hidden="false" outlineLevel="0" max="10" min="10" style="1" width="11"/>
    <col collapsed="false" customWidth="true" hidden="false" outlineLevel="0" max="11" min="11" style="1" width="60"/>
  </cols>
  <sheetData>
    <row r="1" customFormat="false" ht="23.25" hidden="false" customHeight="true" outlineLevel="0" collapsed="fals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12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customFormat="false" ht="15" hidden="false" customHeight="true" outlineLevel="0" collapsed="false">
      <c r="A2" s="3" t="n">
        <v>1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41</v>
      </c>
      <c r="G2" s="3" t="s">
        <v>43</v>
      </c>
      <c r="H2" s="3"/>
      <c r="I2" s="3" t="s">
        <v>44</v>
      </c>
      <c r="J2" s="4" t="s">
        <v>45</v>
      </c>
      <c r="K2" s="3"/>
    </row>
    <row r="3" customFormat="false" ht="15" hidden="false" customHeight="true" outlineLevel="0" collapsed="false">
      <c r="A3" s="3" t="n">
        <v>2</v>
      </c>
      <c r="B3" s="3" t="s">
        <v>39</v>
      </c>
      <c r="C3" s="3" t="s">
        <v>46</v>
      </c>
      <c r="D3" s="3" t="s">
        <v>47</v>
      </c>
      <c r="E3" s="3" t="s">
        <v>42</v>
      </c>
      <c r="F3" s="3" t="s">
        <v>41</v>
      </c>
      <c r="G3" s="3" t="s">
        <v>43</v>
      </c>
      <c r="H3" s="3"/>
      <c r="I3" s="3" t="s">
        <v>44</v>
      </c>
      <c r="J3" s="4" t="s">
        <v>45</v>
      </c>
      <c r="K3" s="3" t="s">
        <v>48</v>
      </c>
    </row>
    <row r="4" customFormat="false" ht="15" hidden="false" customHeight="true" outlineLevel="0" collapsed="false">
      <c r="A4" s="3" t="n">
        <v>3</v>
      </c>
      <c r="B4" s="3" t="s">
        <v>49</v>
      </c>
      <c r="C4" s="3" t="s">
        <v>50</v>
      </c>
      <c r="D4" s="3" t="s">
        <v>41</v>
      </c>
      <c r="E4" s="3" t="s">
        <v>42</v>
      </c>
      <c r="F4" s="3" t="s">
        <v>41</v>
      </c>
      <c r="G4" s="3" t="s">
        <v>43</v>
      </c>
      <c r="H4" s="3"/>
      <c r="I4" s="3" t="s">
        <v>44</v>
      </c>
      <c r="J4" s="4" t="s">
        <v>45</v>
      </c>
      <c r="K4" s="3"/>
    </row>
    <row r="5" customFormat="false" ht="15" hidden="false" customHeight="true" outlineLevel="0" collapsed="false">
      <c r="A5" s="3" t="n">
        <v>4</v>
      </c>
      <c r="B5" s="3" t="s">
        <v>49</v>
      </c>
      <c r="C5" s="3" t="s">
        <v>51</v>
      </c>
      <c r="D5" s="3" t="s">
        <v>41</v>
      </c>
      <c r="E5" s="3" t="s">
        <v>42</v>
      </c>
      <c r="F5" s="3" t="s">
        <v>41</v>
      </c>
      <c r="G5" s="3" t="s">
        <v>43</v>
      </c>
      <c r="H5" s="3"/>
      <c r="I5" s="3" t="s">
        <v>44</v>
      </c>
      <c r="J5" s="4" t="s">
        <v>45</v>
      </c>
      <c r="K5" s="3"/>
    </row>
    <row r="6" customFormat="false" ht="15" hidden="false" customHeight="true" outlineLevel="0" collapsed="false">
      <c r="A6" s="3" t="n">
        <v>5</v>
      </c>
      <c r="B6" s="3" t="s">
        <v>49</v>
      </c>
      <c r="C6" s="3" t="s">
        <v>52</v>
      </c>
      <c r="D6" s="3" t="s">
        <v>41</v>
      </c>
      <c r="E6" s="3" t="s">
        <v>53</v>
      </c>
      <c r="F6" s="3" t="s">
        <v>41</v>
      </c>
      <c r="G6" s="3" t="s">
        <v>43</v>
      </c>
      <c r="H6" s="3"/>
      <c r="I6" s="3" t="s">
        <v>44</v>
      </c>
      <c r="J6" s="4" t="s">
        <v>45</v>
      </c>
      <c r="K6" s="3" t="s">
        <v>54</v>
      </c>
    </row>
    <row r="7" customFormat="false" ht="15" hidden="false" customHeight="true" outlineLevel="0" collapsed="false">
      <c r="A7" s="3" t="n">
        <v>6</v>
      </c>
      <c r="B7" s="3" t="s">
        <v>49</v>
      </c>
      <c r="C7" s="3" t="s">
        <v>55</v>
      </c>
      <c r="D7" s="3" t="s">
        <v>41</v>
      </c>
      <c r="E7" s="3" t="s">
        <v>42</v>
      </c>
      <c r="F7" s="3" t="s">
        <v>41</v>
      </c>
      <c r="G7" s="3" t="s">
        <v>43</v>
      </c>
      <c r="H7" s="3"/>
      <c r="I7" s="3" t="s">
        <v>44</v>
      </c>
      <c r="J7" s="4" t="s">
        <v>45</v>
      </c>
      <c r="K7" s="3" t="s">
        <v>56</v>
      </c>
    </row>
    <row r="8" customFormat="false" ht="15" hidden="false" customHeight="true" outlineLevel="0" collapsed="false">
      <c r="A8" s="3" t="n">
        <v>7</v>
      </c>
      <c r="B8" s="3" t="s">
        <v>49</v>
      </c>
      <c r="C8" s="3" t="s">
        <v>57</v>
      </c>
      <c r="D8" s="3" t="s">
        <v>41</v>
      </c>
      <c r="E8" s="3" t="s">
        <v>42</v>
      </c>
      <c r="F8" s="3" t="s">
        <v>41</v>
      </c>
      <c r="G8" s="3" t="s">
        <v>43</v>
      </c>
      <c r="H8" s="3"/>
      <c r="I8" s="3" t="s">
        <v>44</v>
      </c>
      <c r="J8" s="4" t="s">
        <v>45</v>
      </c>
      <c r="K8" s="3"/>
    </row>
    <row r="9" customFormat="false" ht="23.25" hidden="false" customHeight="true" outlineLevel="0" collapsed="false">
      <c r="A9" s="3" t="n">
        <v>8</v>
      </c>
      <c r="B9" s="3" t="s">
        <v>49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64</v>
      </c>
      <c r="J9" s="5" t="s">
        <v>65</v>
      </c>
      <c r="K9" s="3" t="s">
        <v>66</v>
      </c>
    </row>
    <row r="10" customFormat="false" ht="15" hidden="false" customHeight="true" outlineLevel="0" collapsed="false">
      <c r="A10" s="3" t="n">
        <v>9</v>
      </c>
      <c r="B10" s="3" t="s">
        <v>49</v>
      </c>
      <c r="C10" s="3" t="s">
        <v>67</v>
      </c>
      <c r="D10" s="3" t="s">
        <v>68</v>
      </c>
      <c r="E10" s="3" t="s">
        <v>69</v>
      </c>
      <c r="F10" s="3" t="s">
        <v>61</v>
      </c>
      <c r="G10" s="3" t="s">
        <v>62</v>
      </c>
      <c r="H10" s="3" t="s">
        <v>70</v>
      </c>
      <c r="I10" s="3" t="s">
        <v>71</v>
      </c>
      <c r="J10" s="5" t="s">
        <v>65</v>
      </c>
      <c r="K10" s="3" t="s">
        <v>72</v>
      </c>
    </row>
    <row r="11" customFormat="false" ht="23.25" hidden="false" customHeight="true" outlineLevel="0" collapsed="false">
      <c r="A11" s="3" t="n">
        <v>10</v>
      </c>
      <c r="B11" s="3" t="s">
        <v>49</v>
      </c>
      <c r="C11" s="3" t="s">
        <v>73</v>
      </c>
      <c r="D11" s="3" t="s">
        <v>74</v>
      </c>
      <c r="E11" s="3" t="s">
        <v>75</v>
      </c>
      <c r="F11" s="3" t="s">
        <v>61</v>
      </c>
      <c r="G11" s="3" t="s">
        <v>62</v>
      </c>
      <c r="H11" s="3" t="s">
        <v>76</v>
      </c>
      <c r="I11" s="3" t="s">
        <v>77</v>
      </c>
      <c r="J11" s="5" t="s">
        <v>65</v>
      </c>
      <c r="K11" s="3" t="s">
        <v>78</v>
      </c>
    </row>
    <row r="12" customFormat="false" ht="15" hidden="false" customHeight="true" outlineLevel="0" collapsed="false">
      <c r="A12" s="3" t="n">
        <v>11</v>
      </c>
      <c r="B12" s="3" t="s">
        <v>49</v>
      </c>
      <c r="C12" s="3" t="s">
        <v>79</v>
      </c>
      <c r="D12" s="3" t="s">
        <v>80</v>
      </c>
      <c r="E12" s="3" t="s">
        <v>81</v>
      </c>
      <c r="F12" s="3" t="s">
        <v>61</v>
      </c>
      <c r="G12" s="3" t="s">
        <v>62</v>
      </c>
      <c r="H12" s="3" t="s">
        <v>82</v>
      </c>
      <c r="I12" s="3" t="s">
        <v>83</v>
      </c>
      <c r="J12" s="5" t="s">
        <v>65</v>
      </c>
      <c r="K12" s="3"/>
    </row>
    <row r="13" customFormat="false" ht="15" hidden="false" customHeight="true" outlineLevel="0" collapsed="false">
      <c r="A13" s="3" t="n">
        <v>12</v>
      </c>
      <c r="B13" s="3" t="s">
        <v>49</v>
      </c>
      <c r="C13" s="3" t="s">
        <v>84</v>
      </c>
      <c r="D13" s="3" t="s">
        <v>85</v>
      </c>
      <c r="E13" s="3" t="s">
        <v>42</v>
      </c>
      <c r="F13" s="3" t="s">
        <v>86</v>
      </c>
      <c r="G13" s="3" t="s">
        <v>87</v>
      </c>
      <c r="H13" s="3" t="s">
        <v>88</v>
      </c>
      <c r="I13" s="3" t="s">
        <v>89</v>
      </c>
      <c r="J13" s="5" t="s">
        <v>65</v>
      </c>
      <c r="K13" s="3" t="s">
        <v>90</v>
      </c>
    </row>
    <row r="14" customFormat="false" ht="15" hidden="false" customHeight="true" outlineLevel="0" collapsed="false">
      <c r="A14" s="3" t="n">
        <v>13</v>
      </c>
      <c r="B14" s="3" t="s">
        <v>49</v>
      </c>
      <c r="C14" s="3" t="s">
        <v>91</v>
      </c>
      <c r="D14" s="3" t="s">
        <v>92</v>
      </c>
      <c r="E14" s="3" t="s">
        <v>42</v>
      </c>
      <c r="F14" s="3" t="s">
        <v>86</v>
      </c>
      <c r="G14" s="3" t="s">
        <v>87</v>
      </c>
      <c r="H14" s="3" t="s">
        <v>93</v>
      </c>
      <c r="I14" s="3" t="s">
        <v>94</v>
      </c>
      <c r="J14" s="5" t="s">
        <v>65</v>
      </c>
      <c r="K14" s="3" t="s">
        <v>95</v>
      </c>
    </row>
    <row r="15" customFormat="false" ht="15" hidden="false" customHeight="true" outlineLevel="0" collapsed="false">
      <c r="A15" s="3" t="n">
        <v>14</v>
      </c>
      <c r="B15" s="3" t="s">
        <v>49</v>
      </c>
      <c r="C15" s="3" t="s">
        <v>96</v>
      </c>
      <c r="D15" s="3" t="s">
        <v>97</v>
      </c>
      <c r="E15" s="3" t="s">
        <v>42</v>
      </c>
      <c r="F15" s="3" t="s">
        <v>86</v>
      </c>
      <c r="G15" s="3" t="s">
        <v>87</v>
      </c>
      <c r="H15" s="3" t="s">
        <v>98</v>
      </c>
      <c r="I15" s="3" t="s">
        <v>99</v>
      </c>
      <c r="J15" s="5" t="s">
        <v>65</v>
      </c>
      <c r="K15" s="3" t="s">
        <v>100</v>
      </c>
    </row>
    <row r="16" customFormat="false" ht="15" hidden="false" customHeight="true" outlineLevel="0" collapsed="false">
      <c r="A16" s="3" t="n">
        <v>15</v>
      </c>
      <c r="B16" s="3" t="s">
        <v>49</v>
      </c>
      <c r="C16" s="3" t="s">
        <v>101</v>
      </c>
      <c r="D16" s="3" t="s">
        <v>102</v>
      </c>
      <c r="E16" s="3" t="s">
        <v>42</v>
      </c>
      <c r="F16" s="3" t="s">
        <v>86</v>
      </c>
      <c r="G16" s="3" t="s">
        <v>87</v>
      </c>
      <c r="H16" s="3" t="s">
        <v>103</v>
      </c>
      <c r="I16" s="3" t="s">
        <v>104</v>
      </c>
      <c r="J16" s="5" t="s">
        <v>65</v>
      </c>
      <c r="K16" s="3" t="s">
        <v>105</v>
      </c>
    </row>
    <row r="17" customFormat="false" ht="15" hidden="false" customHeight="true" outlineLevel="0" collapsed="false">
      <c r="A17" s="3" t="n">
        <v>16</v>
      </c>
      <c r="B17" s="3" t="s">
        <v>49</v>
      </c>
      <c r="C17" s="3" t="s">
        <v>106</v>
      </c>
      <c r="D17" s="3" t="s">
        <v>107</v>
      </c>
      <c r="E17" s="3" t="s">
        <v>42</v>
      </c>
      <c r="F17" s="3" t="s">
        <v>108</v>
      </c>
      <c r="G17" s="3" t="s">
        <v>109</v>
      </c>
      <c r="H17" s="3"/>
      <c r="I17" s="3" t="s">
        <v>110</v>
      </c>
      <c r="J17" s="5" t="s">
        <v>65</v>
      </c>
      <c r="K17" s="3" t="s">
        <v>111</v>
      </c>
    </row>
    <row r="18" customFormat="false" ht="23.25" hidden="false" customHeight="true" outlineLevel="0" collapsed="false">
      <c r="A18" s="3" t="n">
        <v>17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3" t="s">
        <v>118</v>
      </c>
      <c r="I18" s="3" t="s">
        <v>119</v>
      </c>
      <c r="J18" s="4" t="s">
        <v>45</v>
      </c>
      <c r="K18" s="3" t="s">
        <v>120</v>
      </c>
    </row>
    <row r="19" customFormat="false" ht="15" hidden="false" customHeight="true" outlineLevel="0" collapsed="false">
      <c r="A19" s="3" t="n">
        <v>18</v>
      </c>
      <c r="B19" s="3" t="s">
        <v>121</v>
      </c>
      <c r="C19" s="3" t="s">
        <v>122</v>
      </c>
      <c r="D19" s="3" t="s">
        <v>114</v>
      </c>
      <c r="E19" s="3" t="s">
        <v>123</v>
      </c>
      <c r="F19" s="3" t="s">
        <v>116</v>
      </c>
      <c r="G19" s="3" t="s">
        <v>117</v>
      </c>
      <c r="H19" s="3" t="s">
        <v>118</v>
      </c>
      <c r="I19" s="3" t="s">
        <v>119</v>
      </c>
      <c r="J19" s="5" t="s">
        <v>65</v>
      </c>
      <c r="K19" s="3" t="s">
        <v>124</v>
      </c>
    </row>
    <row r="20" customFormat="false" ht="15" hidden="false" customHeight="true" outlineLevel="0" collapsed="false">
      <c r="A20" s="3" t="n">
        <v>19</v>
      </c>
      <c r="B20" s="3" t="s">
        <v>112</v>
      </c>
      <c r="C20" s="3" t="s">
        <v>125</v>
      </c>
      <c r="D20" s="3" t="s">
        <v>126</v>
      </c>
      <c r="E20" s="3" t="s">
        <v>127</v>
      </c>
      <c r="F20" s="3" t="s">
        <v>116</v>
      </c>
      <c r="G20" s="3" t="s">
        <v>117</v>
      </c>
      <c r="H20" s="3" t="s">
        <v>128</v>
      </c>
      <c r="I20" s="3" t="s">
        <v>129</v>
      </c>
      <c r="J20" s="4" t="s">
        <v>45</v>
      </c>
      <c r="K20" s="3"/>
    </row>
    <row r="21" customFormat="false" ht="23.25" hidden="false" customHeight="true" outlineLevel="0" collapsed="false">
      <c r="A21" s="3" t="n">
        <v>20</v>
      </c>
      <c r="B21" s="3" t="s">
        <v>112</v>
      </c>
      <c r="C21" s="3" t="s">
        <v>130</v>
      </c>
      <c r="D21" s="3" t="s">
        <v>131</v>
      </c>
      <c r="E21" s="3" t="s">
        <v>132</v>
      </c>
      <c r="F21" s="3" t="s">
        <v>116</v>
      </c>
      <c r="G21" s="3" t="s">
        <v>117</v>
      </c>
      <c r="H21" s="3" t="s">
        <v>133</v>
      </c>
      <c r="I21" s="3" t="s">
        <v>134</v>
      </c>
      <c r="J21" s="4" t="s">
        <v>45</v>
      </c>
      <c r="K21" s="3" t="s">
        <v>135</v>
      </c>
    </row>
    <row r="22" customFormat="false" ht="15" hidden="false" customHeight="true" outlineLevel="0" collapsed="false">
      <c r="A22" s="3" t="n">
        <v>21</v>
      </c>
      <c r="B22" s="3" t="s">
        <v>112</v>
      </c>
      <c r="C22" s="3" t="s">
        <v>136</v>
      </c>
      <c r="D22" s="3" t="s">
        <v>137</v>
      </c>
      <c r="E22" s="3" t="s">
        <v>138</v>
      </c>
      <c r="F22" s="3" t="s">
        <v>116</v>
      </c>
      <c r="G22" s="3" t="s">
        <v>117</v>
      </c>
      <c r="H22" s="3" t="s">
        <v>139</v>
      </c>
      <c r="I22" s="3" t="s">
        <v>44</v>
      </c>
      <c r="J22" s="5" t="s">
        <v>65</v>
      </c>
      <c r="K22" s="3" t="s">
        <v>140</v>
      </c>
    </row>
    <row r="23" customFormat="false" ht="15" hidden="false" customHeight="true" outlineLevel="0" collapsed="false">
      <c r="A23" s="3" t="n">
        <v>22</v>
      </c>
      <c r="B23" s="3" t="s">
        <v>112</v>
      </c>
      <c r="C23" s="3" t="s">
        <v>141</v>
      </c>
      <c r="D23" s="3" t="s">
        <v>137</v>
      </c>
      <c r="E23" s="3" t="s">
        <v>138</v>
      </c>
      <c r="F23" s="3" t="s">
        <v>116</v>
      </c>
      <c r="G23" s="3" t="s">
        <v>117</v>
      </c>
      <c r="H23" s="3" t="s">
        <v>139</v>
      </c>
      <c r="I23" s="3" t="s">
        <v>44</v>
      </c>
      <c r="J23" s="5" t="s">
        <v>65</v>
      </c>
      <c r="K23" s="3" t="s">
        <v>142</v>
      </c>
    </row>
    <row r="24" customFormat="false" ht="15" hidden="false" customHeight="true" outlineLevel="0" collapsed="false">
      <c r="A24" s="3" t="n">
        <v>23</v>
      </c>
      <c r="B24" s="3" t="s">
        <v>143</v>
      </c>
      <c r="C24" s="3" t="s">
        <v>144</v>
      </c>
      <c r="D24" s="3" t="s">
        <v>145</v>
      </c>
      <c r="E24" s="3" t="s">
        <v>42</v>
      </c>
      <c r="F24" s="3" t="s">
        <v>146</v>
      </c>
      <c r="G24" s="3" t="s">
        <v>147</v>
      </c>
      <c r="H24" s="3"/>
      <c r="I24" s="3" t="s">
        <v>148</v>
      </c>
      <c r="J24" s="4" t="s">
        <v>45</v>
      </c>
      <c r="K24" s="3"/>
    </row>
    <row r="25" customFormat="false" ht="15" hidden="false" customHeight="true" outlineLevel="0" collapsed="false">
      <c r="A25" s="3" t="n">
        <v>24</v>
      </c>
      <c r="B25" s="3" t="s">
        <v>143</v>
      </c>
      <c r="C25" s="3" t="s">
        <v>149</v>
      </c>
      <c r="D25" s="3" t="s">
        <v>145</v>
      </c>
      <c r="E25" s="3" t="s">
        <v>42</v>
      </c>
      <c r="F25" s="3" t="s">
        <v>146</v>
      </c>
      <c r="G25" s="3" t="s">
        <v>147</v>
      </c>
      <c r="H25" s="3"/>
      <c r="I25" s="3" t="s">
        <v>148</v>
      </c>
      <c r="J25" s="4" t="s">
        <v>45</v>
      </c>
      <c r="K25" s="3" t="s">
        <v>150</v>
      </c>
    </row>
    <row r="26" customFormat="false" ht="15" hidden="false" customHeight="true" outlineLevel="0" collapsed="false">
      <c r="A26" s="3" t="n">
        <v>25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116</v>
      </c>
      <c r="G26" s="3" t="s">
        <v>117</v>
      </c>
      <c r="H26" s="3" t="s">
        <v>155</v>
      </c>
      <c r="I26" s="3" t="s">
        <v>44</v>
      </c>
      <c r="J26" s="4" t="s">
        <v>45</v>
      </c>
      <c r="K26" s="3"/>
    </row>
    <row r="27" customFormat="false" ht="15" hidden="false" customHeight="true" outlineLevel="0" collapsed="false">
      <c r="A27" s="3" t="n">
        <v>26</v>
      </c>
      <c r="B27" s="3" t="s">
        <v>156</v>
      </c>
      <c r="C27" s="3" t="s">
        <v>157</v>
      </c>
      <c r="D27" s="3" t="s">
        <v>158</v>
      </c>
      <c r="E27" s="3" t="s">
        <v>42</v>
      </c>
      <c r="F27" s="3" t="s">
        <v>86</v>
      </c>
      <c r="G27" s="3" t="s">
        <v>87</v>
      </c>
      <c r="H27" s="3" t="s">
        <v>159</v>
      </c>
      <c r="I27" s="3" t="s">
        <v>160</v>
      </c>
      <c r="J27" s="5" t="s">
        <v>65</v>
      </c>
      <c r="K27" s="3" t="s">
        <v>161</v>
      </c>
    </row>
    <row r="28" customFormat="false" ht="23.25" hidden="false" customHeight="true" outlineLevel="0" collapsed="false">
      <c r="A28" s="3" t="n">
        <v>27</v>
      </c>
      <c r="B28" s="3" t="s">
        <v>162</v>
      </c>
      <c r="C28" s="3" t="s">
        <v>163</v>
      </c>
      <c r="D28" s="3" t="s">
        <v>164</v>
      </c>
      <c r="E28" s="3" t="s">
        <v>165</v>
      </c>
      <c r="F28" s="3" t="s">
        <v>166</v>
      </c>
      <c r="G28" s="3" t="s">
        <v>167</v>
      </c>
      <c r="H28" s="3"/>
      <c r="I28" s="3" t="s">
        <v>168</v>
      </c>
      <c r="J28" s="4" t="s">
        <v>45</v>
      </c>
      <c r="K28" s="3" t="s">
        <v>169</v>
      </c>
    </row>
    <row r="29" customFormat="false" ht="15" hidden="false" customHeight="true" outlineLevel="0" collapsed="false">
      <c r="A29" s="3" t="n">
        <v>28</v>
      </c>
      <c r="B29" s="3" t="s">
        <v>121</v>
      </c>
      <c r="C29" s="3" t="s">
        <v>170</v>
      </c>
      <c r="D29" s="3" t="s">
        <v>164</v>
      </c>
      <c r="E29" s="3" t="s">
        <v>165</v>
      </c>
      <c r="F29" s="3" t="s">
        <v>166</v>
      </c>
      <c r="G29" s="3" t="s">
        <v>167</v>
      </c>
      <c r="H29" s="3"/>
      <c r="I29" s="3" t="s">
        <v>168</v>
      </c>
      <c r="J29" s="4" t="s">
        <v>45</v>
      </c>
      <c r="K29" s="3"/>
    </row>
    <row r="30" customFormat="false" ht="15" hidden="false" customHeight="true" outlineLevel="0" collapsed="false">
      <c r="A30" s="3" t="n">
        <v>29</v>
      </c>
      <c r="B30" s="3" t="s">
        <v>171</v>
      </c>
      <c r="C30" s="3" t="s">
        <v>171</v>
      </c>
      <c r="D30" s="3" t="s">
        <v>172</v>
      </c>
      <c r="E30" s="3" t="s">
        <v>42</v>
      </c>
      <c r="F30" s="3" t="s">
        <v>173</v>
      </c>
      <c r="G30" s="3" t="s">
        <v>174</v>
      </c>
      <c r="H30" s="3" t="s">
        <v>175</v>
      </c>
      <c r="I30" s="3" t="s">
        <v>176</v>
      </c>
      <c r="J30" s="5" t="s">
        <v>65</v>
      </c>
      <c r="K30" s="3" t="s">
        <v>177</v>
      </c>
    </row>
    <row r="31" customFormat="false" ht="23.25" hidden="false" customHeight="true" outlineLevel="0" collapsed="false">
      <c r="A31" s="3" t="n">
        <v>30</v>
      </c>
      <c r="B31" s="3" t="s">
        <v>178</v>
      </c>
      <c r="C31" s="3" t="s">
        <v>179</v>
      </c>
      <c r="D31" s="3" t="s">
        <v>180</v>
      </c>
      <c r="E31" s="3" t="s">
        <v>42</v>
      </c>
      <c r="F31" s="3" t="s">
        <v>181</v>
      </c>
      <c r="G31" s="3" t="s">
        <v>182</v>
      </c>
      <c r="H31" s="3"/>
      <c r="I31" s="3" t="s">
        <v>44</v>
      </c>
      <c r="J31" s="5" t="s">
        <v>65</v>
      </c>
      <c r="K31" s="3" t="s">
        <v>183</v>
      </c>
    </row>
    <row r="32" customFormat="false" ht="15" hidden="false" customHeight="true" outlineLevel="0" collapsed="false">
      <c r="A32" s="3" t="n">
        <v>31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86</v>
      </c>
      <c r="G32" s="3" t="s">
        <v>87</v>
      </c>
      <c r="H32" s="3" t="s">
        <v>188</v>
      </c>
      <c r="I32" s="3" t="s">
        <v>189</v>
      </c>
      <c r="J32" s="5" t="s">
        <v>65</v>
      </c>
      <c r="K32" s="3" t="s">
        <v>190</v>
      </c>
    </row>
    <row r="33" customFormat="false" ht="15" hidden="false" customHeight="true" outlineLevel="0" collapsed="false">
      <c r="A33" s="3" t="n">
        <v>32</v>
      </c>
      <c r="B33" s="3" t="s">
        <v>191</v>
      </c>
      <c r="C33" s="3" t="s">
        <v>192</v>
      </c>
      <c r="D33" s="3" t="s">
        <v>193</v>
      </c>
      <c r="E33" s="3" t="s">
        <v>42</v>
      </c>
      <c r="F33" s="3" t="s">
        <v>194</v>
      </c>
      <c r="G33" s="3" t="s">
        <v>195</v>
      </c>
      <c r="H33" s="3" t="s">
        <v>196</v>
      </c>
      <c r="I33" s="3" t="s">
        <v>176</v>
      </c>
      <c r="J33" s="4" t="s">
        <v>45</v>
      </c>
      <c r="K33" s="3"/>
    </row>
    <row r="34" customFormat="false" ht="15" hidden="false" customHeight="true" outlineLevel="0" collapsed="false">
      <c r="A34" s="3" t="n">
        <v>33</v>
      </c>
      <c r="B34" s="3" t="s">
        <v>197</v>
      </c>
      <c r="C34" s="3" t="s">
        <v>198</v>
      </c>
      <c r="D34" s="3" t="s">
        <v>193</v>
      </c>
      <c r="E34" s="3" t="s">
        <v>42</v>
      </c>
      <c r="F34" s="3" t="s">
        <v>194</v>
      </c>
      <c r="G34" s="3" t="s">
        <v>195</v>
      </c>
      <c r="H34" s="3" t="s">
        <v>199</v>
      </c>
      <c r="I34" s="3" t="s">
        <v>176</v>
      </c>
      <c r="J34" s="4" t="s">
        <v>45</v>
      </c>
      <c r="K34" s="3"/>
    </row>
    <row r="35" customFormat="false" ht="15" hidden="false" customHeight="true" outlineLevel="0" collapsed="false">
      <c r="A35" s="3" t="n">
        <v>34</v>
      </c>
      <c r="B35" s="3" t="s">
        <v>200</v>
      </c>
      <c r="C35" s="3" t="s">
        <v>198</v>
      </c>
      <c r="D35" s="3" t="s">
        <v>193</v>
      </c>
      <c r="E35" s="3" t="s">
        <v>42</v>
      </c>
      <c r="F35" s="3" t="s">
        <v>194</v>
      </c>
      <c r="G35" s="3" t="s">
        <v>195</v>
      </c>
      <c r="H35" s="3" t="s">
        <v>201</v>
      </c>
      <c r="I35" s="3" t="s">
        <v>176</v>
      </c>
      <c r="J35" s="4" t="s">
        <v>45</v>
      </c>
      <c r="K35" s="3"/>
    </row>
    <row r="36" customFormat="false" ht="15" hidden="false" customHeight="true" outlineLevel="0" collapsed="false">
      <c r="A36" s="3" t="n">
        <v>35</v>
      </c>
      <c r="B36" s="3" t="s">
        <v>202</v>
      </c>
      <c r="C36" s="3" t="s">
        <v>192</v>
      </c>
      <c r="D36" s="3" t="s">
        <v>193</v>
      </c>
      <c r="E36" s="3" t="s">
        <v>42</v>
      </c>
      <c r="F36" s="3" t="s">
        <v>194</v>
      </c>
      <c r="G36" s="3" t="s">
        <v>195</v>
      </c>
      <c r="H36" s="3" t="s">
        <v>203</v>
      </c>
      <c r="I36" s="3" t="s">
        <v>176</v>
      </c>
      <c r="J36" s="4" t="s">
        <v>45</v>
      </c>
      <c r="K36" s="3"/>
    </row>
    <row r="37" customFormat="false" ht="15" hidden="false" customHeight="true" outlineLevel="0" collapsed="false">
      <c r="A37" s="3" t="n">
        <v>36</v>
      </c>
      <c r="B37" s="3" t="s">
        <v>204</v>
      </c>
      <c r="C37" s="3" t="s">
        <v>205</v>
      </c>
      <c r="D37" s="3" t="s">
        <v>204</v>
      </c>
      <c r="E37" s="3" t="s">
        <v>42</v>
      </c>
      <c r="F37" s="3" t="s">
        <v>108</v>
      </c>
      <c r="G37" s="3" t="s">
        <v>109</v>
      </c>
      <c r="H37" s="3"/>
      <c r="I37" s="3" t="s">
        <v>176</v>
      </c>
      <c r="J37" s="5" t="s">
        <v>206</v>
      </c>
      <c r="K37" s="3" t="s">
        <v>207</v>
      </c>
    </row>
    <row r="38" customFormat="false" ht="15" hidden="false" customHeight="true" outlineLevel="0" collapsed="false">
      <c r="A38" s="3" t="n">
        <v>37</v>
      </c>
      <c r="B38" s="3" t="s">
        <v>204</v>
      </c>
      <c r="C38" s="3" t="s">
        <v>208</v>
      </c>
      <c r="D38" s="3" t="s">
        <v>204</v>
      </c>
      <c r="E38" s="3" t="s">
        <v>204</v>
      </c>
      <c r="F38" s="3" t="s">
        <v>209</v>
      </c>
      <c r="G38" s="3" t="s">
        <v>204</v>
      </c>
      <c r="H38" s="3"/>
      <c r="I38" s="3" t="s">
        <v>204</v>
      </c>
      <c r="J38" s="6" t="s">
        <v>210</v>
      </c>
      <c r="K38" s="3" t="s">
        <v>211</v>
      </c>
    </row>
    <row r="39" customFormat="false" ht="23.25" hidden="false" customHeight="true" outlineLevel="0" collapsed="false">
      <c r="A39" s="3" t="n">
        <v>38</v>
      </c>
      <c r="B39" s="3" t="s">
        <v>204</v>
      </c>
      <c r="C39" s="3" t="s">
        <v>212</v>
      </c>
      <c r="D39" s="3" t="s">
        <v>204</v>
      </c>
      <c r="E39" s="3" t="s">
        <v>213</v>
      </c>
      <c r="F39" s="3" t="s">
        <v>214</v>
      </c>
      <c r="G39" s="3" t="s">
        <v>214</v>
      </c>
      <c r="H39" s="3"/>
      <c r="I39" s="3" t="s">
        <v>214</v>
      </c>
      <c r="J39" s="5" t="s">
        <v>206</v>
      </c>
      <c r="K39" s="3" t="s">
        <v>215</v>
      </c>
    </row>
  </sheetData>
  <autoFilter ref="A1:K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58"/>
    <col collapsed="false" customWidth="true" hidden="false" outlineLevel="0" max="8" min="8" style="1" width="10"/>
    <col collapsed="false" customWidth="true" hidden="false" outlineLevel="0" max="9" min="9" style="1" width="40"/>
  </cols>
  <sheetData>
    <row r="1" customFormat="false" ht="34.5" hidden="false" customHeight="true" outlineLevel="0" collapsed="false">
      <c r="A1" s="2" t="s">
        <v>216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</row>
    <row r="2" customFormat="false" ht="15" hidden="false" customHeight="true" outlineLevel="0" collapsed="false">
      <c r="A2" s="3" t="s">
        <v>225</v>
      </c>
      <c r="B2" s="3" t="s">
        <v>226</v>
      </c>
      <c r="C2" s="3" t="s">
        <v>52</v>
      </c>
      <c r="D2" s="3" t="n">
        <v>3</v>
      </c>
      <c r="E2" s="3" t="s">
        <v>41</v>
      </c>
      <c r="F2" s="3" t="s">
        <v>204</v>
      </c>
      <c r="G2" s="3" t="s">
        <v>227</v>
      </c>
      <c r="H2" s="3" t="s">
        <v>228</v>
      </c>
      <c r="I2" s="3"/>
    </row>
    <row r="3" customFormat="false" ht="23.25" hidden="false" customHeight="true" outlineLevel="0" collapsed="false">
      <c r="A3" s="3" t="s">
        <v>154</v>
      </c>
      <c r="B3" s="3" t="s">
        <v>226</v>
      </c>
      <c r="C3" s="3" t="s">
        <v>152</v>
      </c>
      <c r="D3" s="3" t="n">
        <v>1</v>
      </c>
      <c r="E3" s="3" t="s">
        <v>116</v>
      </c>
      <c r="F3" s="3" t="s">
        <v>229</v>
      </c>
      <c r="G3" s="3" t="s">
        <v>230</v>
      </c>
      <c r="H3" s="3" t="s">
        <v>228</v>
      </c>
      <c r="I3" s="3"/>
    </row>
    <row r="4" customFormat="false" ht="15" hidden="false" customHeight="true" outlineLevel="0" collapsed="false">
      <c r="A4" s="3" t="s">
        <v>123</v>
      </c>
      <c r="B4" s="3" t="s">
        <v>226</v>
      </c>
      <c r="C4" s="3" t="s">
        <v>231</v>
      </c>
      <c r="D4" s="3" t="n">
        <v>2</v>
      </c>
      <c r="E4" s="3" t="s">
        <v>116</v>
      </c>
      <c r="F4" s="3" t="s">
        <v>232</v>
      </c>
      <c r="G4" s="3" t="s">
        <v>233</v>
      </c>
      <c r="H4" s="3" t="s">
        <v>228</v>
      </c>
      <c r="I4" s="3"/>
    </row>
    <row r="5" customFormat="false" ht="15" hidden="false" customHeight="true" outlineLevel="0" collapsed="false">
      <c r="A5" s="3" t="s">
        <v>127</v>
      </c>
      <c r="B5" s="3" t="s">
        <v>226</v>
      </c>
      <c r="C5" s="3" t="s">
        <v>234</v>
      </c>
      <c r="D5" s="3" t="n">
        <v>1</v>
      </c>
      <c r="E5" s="3" t="s">
        <v>116</v>
      </c>
      <c r="F5" s="3" t="s">
        <v>235</v>
      </c>
      <c r="G5" s="3" t="s">
        <v>236</v>
      </c>
      <c r="H5" s="3" t="s">
        <v>228</v>
      </c>
      <c r="I5" s="3"/>
    </row>
    <row r="6" customFormat="false" ht="15" hidden="false" customHeight="true" outlineLevel="0" collapsed="false">
      <c r="A6" s="3" t="s">
        <v>237</v>
      </c>
      <c r="B6" s="3" t="s">
        <v>226</v>
      </c>
      <c r="C6" s="3" t="s">
        <v>130</v>
      </c>
      <c r="D6" s="3" t="n">
        <v>1</v>
      </c>
      <c r="E6" s="3" t="s">
        <v>116</v>
      </c>
      <c r="F6" s="3" t="s">
        <v>238</v>
      </c>
      <c r="G6" s="3" t="s">
        <v>239</v>
      </c>
      <c r="H6" s="3" t="s">
        <v>228</v>
      </c>
      <c r="I6" s="3"/>
    </row>
    <row r="7" customFormat="false" ht="15" hidden="false" customHeight="true" outlineLevel="0" collapsed="false">
      <c r="A7" s="3" t="s">
        <v>138</v>
      </c>
      <c r="B7" s="3" t="s">
        <v>226</v>
      </c>
      <c r="C7" s="3" t="s">
        <v>136</v>
      </c>
      <c r="D7" s="3" t="n">
        <v>1</v>
      </c>
      <c r="E7" s="3" t="s">
        <v>116</v>
      </c>
      <c r="F7" s="3" t="s">
        <v>240</v>
      </c>
      <c r="G7" s="3" t="s">
        <v>241</v>
      </c>
      <c r="H7" s="3" t="s">
        <v>228</v>
      </c>
      <c r="I7" s="3"/>
    </row>
    <row r="8" customFormat="false" ht="15" hidden="false" customHeight="true" outlineLevel="0" collapsed="false">
      <c r="A8" s="3" t="s">
        <v>60</v>
      </c>
      <c r="B8" s="3" t="s">
        <v>226</v>
      </c>
      <c r="C8" s="3" t="s">
        <v>242</v>
      </c>
      <c r="D8" s="3" t="n">
        <v>1</v>
      </c>
      <c r="E8" s="3" t="s">
        <v>61</v>
      </c>
      <c r="F8" s="3" t="s">
        <v>243</v>
      </c>
      <c r="G8" s="3" t="s">
        <v>244</v>
      </c>
      <c r="H8" s="3" t="s">
        <v>228</v>
      </c>
      <c r="I8" s="3"/>
    </row>
    <row r="9" customFormat="false" ht="15" hidden="false" customHeight="true" outlineLevel="0" collapsed="false">
      <c r="A9" s="3" t="s">
        <v>69</v>
      </c>
      <c r="B9" s="3" t="s">
        <v>226</v>
      </c>
      <c r="C9" s="3" t="s">
        <v>245</v>
      </c>
      <c r="D9" s="3" t="n">
        <v>1</v>
      </c>
      <c r="E9" s="3" t="s">
        <v>61</v>
      </c>
      <c r="F9" s="3" t="s">
        <v>67</v>
      </c>
      <c r="G9" s="3" t="s">
        <v>246</v>
      </c>
      <c r="H9" s="3" t="s">
        <v>228</v>
      </c>
      <c r="I9" s="3"/>
    </row>
    <row r="10" customFormat="false" ht="15" hidden="false" customHeight="true" outlineLevel="0" collapsed="false">
      <c r="A10" s="3" t="s">
        <v>75</v>
      </c>
      <c r="B10" s="3" t="s">
        <v>247</v>
      </c>
      <c r="C10" s="3" t="s">
        <v>73</v>
      </c>
      <c r="D10" s="3" t="n">
        <v>1</v>
      </c>
      <c r="E10" s="3" t="s">
        <v>61</v>
      </c>
      <c r="F10" s="3" t="s">
        <v>248</v>
      </c>
      <c r="G10" s="3" t="s">
        <v>249</v>
      </c>
      <c r="H10" s="3" t="s">
        <v>228</v>
      </c>
      <c r="I10" s="3"/>
    </row>
    <row r="11" customFormat="false" ht="15" hidden="false" customHeight="true" outlineLevel="0" collapsed="false">
      <c r="A11" s="3" t="s">
        <v>81</v>
      </c>
      <c r="B11" s="3" t="s">
        <v>226</v>
      </c>
      <c r="C11" s="3" t="s">
        <v>250</v>
      </c>
      <c r="D11" s="3" t="n">
        <v>1</v>
      </c>
      <c r="E11" s="3" t="s">
        <v>61</v>
      </c>
      <c r="F11" s="3" t="s">
        <v>251</v>
      </c>
      <c r="G11" s="3" t="s">
        <v>252</v>
      </c>
      <c r="H11" s="3" t="s">
        <v>228</v>
      </c>
      <c r="I11" s="3"/>
    </row>
    <row r="12" customFormat="false" ht="15" hidden="false" customHeight="true" outlineLevel="0" collapsed="false">
      <c r="A12" s="3" t="s">
        <v>187</v>
      </c>
      <c r="B12" s="3" t="s">
        <v>226</v>
      </c>
      <c r="C12" s="3" t="s">
        <v>185</v>
      </c>
      <c r="D12" s="3" t="n">
        <v>1</v>
      </c>
      <c r="E12" s="3" t="s">
        <v>86</v>
      </c>
      <c r="F12" s="3" t="s">
        <v>253</v>
      </c>
      <c r="G12" s="3" t="s">
        <v>254</v>
      </c>
      <c r="H12" s="3" t="s">
        <v>228</v>
      </c>
      <c r="I12" s="3"/>
    </row>
    <row r="13" customFormat="false" ht="15" hidden="false" customHeight="true" outlineLevel="0" collapsed="false">
      <c r="A13" s="3" t="s">
        <v>165</v>
      </c>
      <c r="B13" s="3" t="s">
        <v>247</v>
      </c>
      <c r="C13" s="3" t="s">
        <v>255</v>
      </c>
      <c r="D13" s="3" t="n">
        <v>1</v>
      </c>
      <c r="E13" s="3" t="s">
        <v>166</v>
      </c>
      <c r="F13" s="3" t="s">
        <v>204</v>
      </c>
      <c r="G13" s="3" t="s">
        <v>256</v>
      </c>
      <c r="H13" s="3" t="s">
        <v>228</v>
      </c>
      <c r="I13" s="3"/>
    </row>
    <row r="14" customFormat="false" ht="15" hidden="false" customHeight="true" outlineLevel="0" collapsed="false">
      <c r="A14" s="3" t="s">
        <v>213</v>
      </c>
      <c r="B14" s="3" t="s">
        <v>214</v>
      </c>
      <c r="C14" s="3" t="s">
        <v>214</v>
      </c>
      <c r="D14" s="3" t="n">
        <v>1</v>
      </c>
      <c r="E14" s="3" t="s">
        <v>214</v>
      </c>
      <c r="F14" s="3" t="s">
        <v>214</v>
      </c>
      <c r="G14" s="3" t="s">
        <v>257</v>
      </c>
      <c r="H14" s="3" t="s">
        <v>228</v>
      </c>
      <c r="I14" s="3"/>
    </row>
    <row r="16" customFormat="false" ht="15" hidden="false" customHeight="true" outlineLevel="0" collapsed="false">
      <c r="A16" s="7" t="s">
        <v>258</v>
      </c>
    </row>
    <row r="17" customFormat="false" ht="15" hidden="false" customHeight="true" outlineLevel="0" collapsed="false">
      <c r="A17" s="7" t="s">
        <v>259</v>
      </c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32"/>
    <col collapsed="false" customWidth="true" hidden="false" outlineLevel="0" max="5" min="5" style="1" width="30"/>
    <col collapsed="false" customWidth="true" hidden="false" outlineLevel="0" max="6" min="6" style="1" width="46"/>
    <col collapsed="false" customWidth="true" hidden="false" outlineLevel="0" max="7" min="7" style="1" width="55"/>
    <col collapsed="false" customWidth="true" hidden="false" outlineLevel="0" max="9" min="8" style="1" width="26"/>
    <col collapsed="false" customWidth="true" hidden="false" outlineLevel="0" max="10" min="10" style="1" width="36"/>
    <col collapsed="false" customWidth="true" hidden="false" outlineLevel="0" max="11" min="11" style="1" width="30"/>
    <col collapsed="false" customWidth="true" hidden="false" outlineLevel="0" max="12" min="12" style="1" width="14"/>
    <col collapsed="false" customWidth="true" hidden="false" outlineLevel="0" max="13" min="13" style="1" width="45"/>
  </cols>
  <sheetData>
    <row r="1" customFormat="false" ht="31.5" hidden="false" customHeight="true" outlineLevel="0" collapsed="false">
      <c r="A1" s="2" t="s">
        <v>12</v>
      </c>
      <c r="B1" s="2" t="s">
        <v>34</v>
      </c>
      <c r="C1" s="2" t="s">
        <v>260</v>
      </c>
      <c r="D1" s="2" t="s">
        <v>261</v>
      </c>
      <c r="E1" s="2" t="s">
        <v>262</v>
      </c>
      <c r="F1" s="2" t="s">
        <v>263</v>
      </c>
      <c r="G1" s="2" t="s">
        <v>264</v>
      </c>
      <c r="H1" s="2" t="s">
        <v>265</v>
      </c>
      <c r="I1" s="2" t="s">
        <v>266</v>
      </c>
      <c r="J1" s="2" t="s">
        <v>267</v>
      </c>
      <c r="K1" s="2" t="s">
        <v>268</v>
      </c>
      <c r="L1" s="2" t="s">
        <v>37</v>
      </c>
      <c r="M1" s="2" t="s">
        <v>269</v>
      </c>
    </row>
    <row r="2" customFormat="false" ht="34.5" hidden="false" customHeight="true" outlineLevel="0" collapsed="false">
      <c r="A2" s="3" t="s">
        <v>41</v>
      </c>
      <c r="B2" s="3" t="s">
        <v>43</v>
      </c>
      <c r="C2" s="3" t="s">
        <v>270</v>
      </c>
      <c r="D2" s="3" t="s">
        <v>271</v>
      </c>
      <c r="E2" s="3" t="s">
        <v>272</v>
      </c>
      <c r="F2" s="3" t="s">
        <v>53</v>
      </c>
      <c r="G2" s="3" t="s">
        <v>273</v>
      </c>
      <c r="H2" s="3" t="s">
        <v>274</v>
      </c>
      <c r="I2" s="3" t="s">
        <v>275</v>
      </c>
      <c r="J2" s="3" t="s">
        <v>276</v>
      </c>
      <c r="K2" s="3" t="s">
        <v>277</v>
      </c>
      <c r="L2" s="4" t="s">
        <v>45</v>
      </c>
      <c r="M2" s="3" t="s">
        <v>278</v>
      </c>
    </row>
    <row r="3" customFormat="false" ht="34.5" hidden="false" customHeight="true" outlineLevel="0" collapsed="false">
      <c r="A3" s="3" t="s">
        <v>166</v>
      </c>
      <c r="B3" s="3" t="s">
        <v>167</v>
      </c>
      <c r="C3" s="3" t="s">
        <v>279</v>
      </c>
      <c r="D3" s="3" t="s">
        <v>280</v>
      </c>
      <c r="E3" s="3" t="s">
        <v>164</v>
      </c>
      <c r="F3" s="3" t="s">
        <v>165</v>
      </c>
      <c r="G3" s="3" t="s">
        <v>281</v>
      </c>
      <c r="H3" s="3" t="s">
        <v>282</v>
      </c>
      <c r="I3" s="3" t="s">
        <v>283</v>
      </c>
      <c r="J3" s="3" t="s">
        <v>284</v>
      </c>
      <c r="K3" s="3" t="s">
        <v>285</v>
      </c>
      <c r="L3" s="4" t="s">
        <v>45</v>
      </c>
      <c r="M3" s="3" t="s">
        <v>286</v>
      </c>
    </row>
    <row r="4" customFormat="false" ht="34.5" hidden="false" customHeight="true" outlineLevel="0" collapsed="false">
      <c r="A4" s="3" t="s">
        <v>116</v>
      </c>
      <c r="B4" s="3" t="s">
        <v>117</v>
      </c>
      <c r="C4" s="3" t="s">
        <v>287</v>
      </c>
      <c r="D4" s="3" t="s">
        <v>288</v>
      </c>
      <c r="E4" s="3" t="s">
        <v>289</v>
      </c>
      <c r="F4" s="3" t="s">
        <v>290</v>
      </c>
      <c r="G4" s="3" t="s">
        <v>291</v>
      </c>
      <c r="H4" s="3" t="s">
        <v>292</v>
      </c>
      <c r="I4" s="3" t="s">
        <v>293</v>
      </c>
      <c r="J4" s="3" t="s">
        <v>294</v>
      </c>
      <c r="K4" s="3" t="s">
        <v>295</v>
      </c>
      <c r="L4" s="4" t="s">
        <v>296</v>
      </c>
      <c r="M4" s="3" t="s">
        <v>297</v>
      </c>
    </row>
    <row r="5" customFormat="false" ht="34.5" hidden="false" customHeight="true" outlineLevel="0" collapsed="false">
      <c r="A5" s="3" t="s">
        <v>61</v>
      </c>
      <c r="B5" s="3" t="s">
        <v>62</v>
      </c>
      <c r="C5" s="3" t="s">
        <v>298</v>
      </c>
      <c r="D5" s="3" t="s">
        <v>299</v>
      </c>
      <c r="E5" s="3" t="s">
        <v>300</v>
      </c>
      <c r="F5" s="3" t="s">
        <v>301</v>
      </c>
      <c r="G5" s="3" t="s">
        <v>302</v>
      </c>
      <c r="H5" s="3" t="s">
        <v>303</v>
      </c>
      <c r="I5" s="3" t="s">
        <v>304</v>
      </c>
      <c r="J5" s="3" t="s">
        <v>305</v>
      </c>
      <c r="K5" s="3" t="s">
        <v>306</v>
      </c>
      <c r="L5" s="5" t="s">
        <v>65</v>
      </c>
      <c r="M5" s="3" t="s">
        <v>307</v>
      </c>
    </row>
    <row r="6" customFormat="false" ht="23.25" hidden="false" customHeight="true" outlineLevel="0" collapsed="false">
      <c r="A6" s="3" t="s">
        <v>146</v>
      </c>
      <c r="B6" s="3" t="s">
        <v>147</v>
      </c>
      <c r="C6" s="3" t="s">
        <v>308</v>
      </c>
      <c r="D6" s="3" t="s">
        <v>309</v>
      </c>
      <c r="E6" s="3" t="s">
        <v>145</v>
      </c>
      <c r="F6" s="3" t="s">
        <v>310</v>
      </c>
      <c r="G6" s="3" t="s">
        <v>311</v>
      </c>
      <c r="H6" s="3" t="s">
        <v>312</v>
      </c>
      <c r="I6" s="3" t="s">
        <v>313</v>
      </c>
      <c r="J6" s="3" t="s">
        <v>314</v>
      </c>
      <c r="K6" s="3" t="s">
        <v>315</v>
      </c>
      <c r="L6" s="4" t="s">
        <v>45</v>
      </c>
      <c r="M6" s="3" t="s">
        <v>316</v>
      </c>
    </row>
    <row r="7" customFormat="false" ht="23.25" hidden="false" customHeight="true" outlineLevel="0" collapsed="false">
      <c r="A7" s="3" t="s">
        <v>194</v>
      </c>
      <c r="B7" s="3" t="s">
        <v>195</v>
      </c>
      <c r="C7" s="3" t="s">
        <v>317</v>
      </c>
      <c r="D7" s="3" t="s">
        <v>318</v>
      </c>
      <c r="E7" s="3" t="s">
        <v>193</v>
      </c>
      <c r="F7" s="3" t="s">
        <v>310</v>
      </c>
      <c r="G7" s="3" t="s">
        <v>319</v>
      </c>
      <c r="H7" s="3" t="s">
        <v>320</v>
      </c>
      <c r="I7" s="3" t="s">
        <v>321</v>
      </c>
      <c r="J7" s="3" t="s">
        <v>322</v>
      </c>
      <c r="K7" s="3" t="s">
        <v>323</v>
      </c>
      <c r="L7" s="4" t="s">
        <v>45</v>
      </c>
      <c r="M7" s="3" t="s">
        <v>324</v>
      </c>
    </row>
    <row r="8" customFormat="false" ht="23.25" hidden="false" customHeight="true" outlineLevel="0" collapsed="false">
      <c r="A8" s="3" t="s">
        <v>173</v>
      </c>
      <c r="B8" s="3" t="s">
        <v>174</v>
      </c>
      <c r="C8" s="3" t="s">
        <v>325</v>
      </c>
      <c r="D8" s="3" t="s">
        <v>171</v>
      </c>
      <c r="E8" s="3" t="s">
        <v>172</v>
      </c>
      <c r="F8" s="3" t="s">
        <v>310</v>
      </c>
      <c r="G8" s="3" t="s">
        <v>326</v>
      </c>
      <c r="H8" s="3" t="s">
        <v>327</v>
      </c>
      <c r="I8" s="3" t="s">
        <v>175</v>
      </c>
      <c r="J8" s="3" t="s">
        <v>328</v>
      </c>
      <c r="K8" s="3" t="s">
        <v>329</v>
      </c>
      <c r="L8" s="5" t="s">
        <v>65</v>
      </c>
      <c r="M8" s="3" t="s">
        <v>330</v>
      </c>
    </row>
    <row r="9" customFormat="false" ht="23.25" hidden="false" customHeight="true" outlineLevel="0" collapsed="false">
      <c r="A9" s="3" t="s">
        <v>108</v>
      </c>
      <c r="B9" s="3" t="s">
        <v>109</v>
      </c>
      <c r="C9" s="3" t="s">
        <v>331</v>
      </c>
      <c r="D9" s="3" t="s">
        <v>332</v>
      </c>
      <c r="E9" s="3" t="s">
        <v>107</v>
      </c>
      <c r="F9" s="3" t="s">
        <v>310</v>
      </c>
      <c r="G9" s="3" t="s">
        <v>333</v>
      </c>
      <c r="H9" s="3" t="s">
        <v>334</v>
      </c>
      <c r="I9" s="3" t="s">
        <v>335</v>
      </c>
      <c r="J9" s="3" t="s">
        <v>336</v>
      </c>
      <c r="K9" s="3" t="s">
        <v>337</v>
      </c>
      <c r="L9" s="5" t="s">
        <v>65</v>
      </c>
      <c r="M9" s="3" t="s">
        <v>338</v>
      </c>
    </row>
    <row r="10" customFormat="false" ht="34.5" hidden="false" customHeight="true" outlineLevel="0" collapsed="false">
      <c r="A10" s="3" t="s">
        <v>86</v>
      </c>
      <c r="B10" s="3" t="s">
        <v>87</v>
      </c>
      <c r="C10" s="3" t="s">
        <v>339</v>
      </c>
      <c r="D10" s="3" t="s">
        <v>340</v>
      </c>
      <c r="E10" s="3" t="s">
        <v>341</v>
      </c>
      <c r="F10" s="3" t="s">
        <v>342</v>
      </c>
      <c r="G10" s="3" t="s">
        <v>343</v>
      </c>
      <c r="H10" s="3" t="s">
        <v>344</v>
      </c>
      <c r="I10" s="3" t="s">
        <v>345</v>
      </c>
      <c r="J10" s="3" t="s">
        <v>346</v>
      </c>
      <c r="K10" s="3" t="s">
        <v>347</v>
      </c>
      <c r="L10" s="5" t="s">
        <v>65</v>
      </c>
      <c r="M10" s="3" t="s">
        <v>348</v>
      </c>
    </row>
    <row r="11" customFormat="false" ht="23.25" hidden="false" customHeight="true" outlineLevel="0" collapsed="false">
      <c r="A11" s="3" t="s">
        <v>181</v>
      </c>
      <c r="B11" s="3" t="s">
        <v>182</v>
      </c>
      <c r="C11" s="3" t="s">
        <v>349</v>
      </c>
      <c r="D11" s="3" t="s">
        <v>350</v>
      </c>
      <c r="E11" s="3" t="s">
        <v>180</v>
      </c>
      <c r="F11" s="3" t="s">
        <v>310</v>
      </c>
      <c r="G11" s="3" t="s">
        <v>351</v>
      </c>
      <c r="H11" s="3" t="s">
        <v>44</v>
      </c>
      <c r="I11" s="3" t="s">
        <v>352</v>
      </c>
      <c r="J11" s="3" t="s">
        <v>353</v>
      </c>
      <c r="K11" s="3" t="s">
        <v>354</v>
      </c>
      <c r="L11" s="5" t="s">
        <v>65</v>
      </c>
      <c r="M11" s="3" t="s">
        <v>355</v>
      </c>
    </row>
    <row r="12" customFormat="false" ht="23.25" hidden="false" customHeight="true" outlineLevel="0" collapsed="false">
      <c r="A12" s="3" t="s">
        <v>356</v>
      </c>
      <c r="B12" s="3" t="s">
        <v>204</v>
      </c>
      <c r="C12" s="3" t="s">
        <v>204</v>
      </c>
      <c r="D12" s="3" t="s">
        <v>357</v>
      </c>
      <c r="E12" s="3" t="s">
        <v>204</v>
      </c>
      <c r="F12" s="3" t="s">
        <v>204</v>
      </c>
      <c r="G12" s="3" t="s">
        <v>358</v>
      </c>
      <c r="H12" s="3" t="s">
        <v>204</v>
      </c>
      <c r="I12" s="3" t="s">
        <v>204</v>
      </c>
      <c r="J12" s="3" t="s">
        <v>204</v>
      </c>
      <c r="K12" s="3" t="s">
        <v>204</v>
      </c>
      <c r="L12" s="6" t="s">
        <v>210</v>
      </c>
      <c r="M12" s="3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360</v>
      </c>
      <c r="B1" s="2" t="s">
        <v>361</v>
      </c>
      <c r="C1" s="2" t="s">
        <v>362</v>
      </c>
    </row>
    <row r="2" customFormat="false" ht="15" hidden="false" customHeight="true" outlineLevel="0" collapsed="false">
      <c r="A2" s="3" t="s">
        <v>363</v>
      </c>
      <c r="B2" s="8" t="n">
        <v>33</v>
      </c>
      <c r="C2" s="3"/>
    </row>
    <row r="3" customFormat="false" ht="15" hidden="false" customHeight="true" outlineLevel="0" collapsed="false">
      <c r="A3" s="3" t="s">
        <v>364</v>
      </c>
      <c r="B3" s="8" t="n">
        <v>22</v>
      </c>
      <c r="C3" s="3"/>
    </row>
    <row r="4" customFormat="false" ht="15" hidden="false" customHeight="true" outlineLevel="0" collapsed="false">
      <c r="A4" s="3" t="s">
        <v>365</v>
      </c>
      <c r="B4" s="8" t="n">
        <f aca="false">COUNTA('Casos de uso por tipo'!A2:A11)</f>
        <v>10</v>
      </c>
      <c r="C4" s="3" t="s">
        <v>366</v>
      </c>
    </row>
    <row r="5" customFormat="false" ht="15" hidden="false" customHeight="true" outlineLevel="0" collapsed="false">
      <c r="A5" s="3" t="s">
        <v>367</v>
      </c>
      <c r="B5" s="8" t="n">
        <f aca="false">COUNTIF('Casos de uso por tipo'!L2:L12,"Claro*")</f>
        <v>5</v>
      </c>
      <c r="C5" s="3"/>
    </row>
    <row r="6" customFormat="false" ht="15" hidden="false" customHeight="true" outlineLevel="0" collapsed="false">
      <c r="A6" s="3" t="s">
        <v>368</v>
      </c>
      <c r="B6" s="8" t="n">
        <f aca="false">COUNTIF('Casos de uso por tipo'!L2:L12,"Confirmar")</f>
        <v>5</v>
      </c>
      <c r="C6" s="3"/>
    </row>
    <row r="7" customFormat="false" ht="15" hidden="false" customHeight="true" outlineLevel="0" collapsed="false">
      <c r="A7" s="3" t="s">
        <v>369</v>
      </c>
      <c r="B7" s="8" t="n">
        <f aca="false">COUNTIF('Casos de uso por tipo'!L2:L12,"Excluir")</f>
        <v>1</v>
      </c>
      <c r="C7" s="3"/>
    </row>
    <row r="8" customFormat="false" ht="15" hidden="false" customHeight="true" outlineLevel="0" collapsed="false">
      <c r="A8" s="3" t="s">
        <v>370</v>
      </c>
      <c r="B8" s="8" t="n">
        <f aca="false">COUNTA('Playbooks POC'!A2:A14)-1</f>
        <v>12</v>
      </c>
      <c r="C8" s="3" t="s">
        <v>371</v>
      </c>
    </row>
    <row r="9" customFormat="false" ht="15" hidden="false" customHeight="true" outlineLevel="0" collapsed="false">
      <c r="A9" s="3" t="s">
        <v>372</v>
      </c>
      <c r="B9" s="8" t="n">
        <f aca="false">COUNTIF(Tecnologías!E2:E36,"gcg*")</f>
        <v>15</v>
      </c>
      <c r="C9" s="3" t="s">
        <v>373</v>
      </c>
    </row>
    <row r="10" customFormat="false" ht="15" hidden="false" customHeight="true" outlineLevel="0" collapsed="false">
      <c r="A10" s="3" t="s">
        <v>374</v>
      </c>
      <c r="B10" s="8" t="n">
        <f aca="false">COUNTIF(Tecnologías!E2:E36,"— (sin POC)")</f>
        <v>20</v>
      </c>
      <c r="C10" s="3"/>
    </row>
    <row r="11" customFormat="false" ht="15" hidden="false" customHeight="true" outlineLevel="0" collapsed="false">
      <c r="A11" s="3" t="s">
        <v>375</v>
      </c>
      <c r="B11" s="8" t="n">
        <f aca="false">COUNTIF('Playbooks POC'!H2:H14,"Sí")</f>
        <v>0</v>
      </c>
      <c r="C11" s="3" t="s">
        <v>376</v>
      </c>
    </row>
    <row r="12" customFormat="false" ht="15" hidden="false" customHeight="false" outlineLevel="0" collapsed="false">
      <c r="A12" s="9"/>
      <c r="B12" s="9"/>
      <c r="C12" s="9"/>
    </row>
    <row r="13" customFormat="false" ht="15" hidden="false" customHeight="false" outlineLevel="0" collapsed="false">
      <c r="A13" s="10" t="s">
        <v>377</v>
      </c>
      <c r="B13" s="9"/>
      <c r="C13" s="9"/>
    </row>
    <row r="14" customFormat="false" ht="15" hidden="false" customHeight="true" outlineLevel="0" collapsed="false">
      <c r="A14" s="11"/>
      <c r="B14" s="9"/>
      <c r="C14" s="9"/>
    </row>
    <row r="15" customFormat="false" ht="15" hidden="false" customHeight="false" outlineLevel="0" collapsed="false">
      <c r="A15" s="9"/>
      <c r="B15" s="9"/>
      <c r="C15" s="9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2026-10-27T17:42:05Z</dcterms:created>
  <dc:creator>openpyxl</dc:creator>
  <dc:description/>
  <dc:language>en-US</dc:language>
  <cp:lastModifiedBy/>
  <dcterms:modified xsi:type="dcterms:W3CDTF">2026-10-27T21:35:15Z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